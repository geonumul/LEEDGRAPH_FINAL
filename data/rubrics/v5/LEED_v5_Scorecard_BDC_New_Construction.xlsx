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https://usgbc.sharepoint.com/sites/ProductManagement/Shared Documents/Product Folders/LEED D+C/Shared/LEED v5 Scorecard/"/>
    </mc:Choice>
  </mc:AlternateContent>
  <xr:revisionPtr revIDLastSave="152" documentId="8_{89702C74-C82A-4089-A52B-A3E61467F7FD}" xr6:coauthVersionLast="47" xr6:coauthVersionMax="47" xr10:uidLastSave="{48328017-E5FB-42E1-A1DD-BF3E88192A05}"/>
  <bookViews>
    <workbookView xWindow="-108" yWindow="-108" windowWidth="23256" windowHeight="12456" xr2:uid="{E863F08E-B8F4-4F10-867B-B4E0F61FDCB4}"/>
  </bookViews>
  <sheets>
    <sheet name="Cover" sheetId="28" r:id="rId1"/>
    <sheet name="BD+C credit category view" sheetId="21" r:id="rId2"/>
    <sheet name="BD+C impact area view " sheetId="23" r:id="rId3"/>
    <sheet name="Analytics" sheetId="27" r:id="rId4"/>
    <sheet name="Background" sheetId="24" state="hidden" r:id="rId5"/>
  </sheets>
  <definedNames>
    <definedName name="_xlnm.Print_Area" localSheetId="3">Analytics!$A$1:$X$48</definedName>
    <definedName name="_xlnm.Print_Area" localSheetId="1">'BD+C credit category view'!$A$1:$R$83</definedName>
    <definedName name="_xlnm.Print_Area" localSheetId="2">'BD+C impact area view '!$A$1:$V$32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21" l="1"/>
  <c r="M4" i="21"/>
  <c r="M3" i="21"/>
  <c r="M2" i="21"/>
  <c r="J70" i="21"/>
  <c r="J83" i="21"/>
  <c r="I83" i="21"/>
  <c r="B83" i="21"/>
  <c r="C83" i="21"/>
  <c r="A83" i="21"/>
  <c r="J73" i="21"/>
  <c r="J74" i="21"/>
  <c r="J75" i="21"/>
  <c r="J76" i="21"/>
  <c r="J77" i="21"/>
  <c r="J78" i="21"/>
  <c r="J79" i="21"/>
  <c r="J80" i="21"/>
  <c r="J72" i="21"/>
  <c r="J81" i="21"/>
  <c r="J71" i="21" l="1"/>
  <c r="K71" i="21" s="1"/>
  <c r="B27" i="23"/>
  <c r="R20" i="23" s="1"/>
  <c r="C27" i="23"/>
  <c r="S20" i="23" s="1"/>
  <c r="B28" i="23"/>
  <c r="C28" i="23"/>
  <c r="A28" i="23"/>
  <c r="A27" i="23"/>
  <c r="Q20" i="23" s="1"/>
  <c r="R9" i="23"/>
  <c r="S9" i="23"/>
  <c r="Q9" i="23"/>
  <c r="R24" i="23"/>
  <c r="S24" i="23"/>
  <c r="Q24" i="23"/>
  <c r="R16" i="23"/>
  <c r="S16" i="23"/>
  <c r="R17" i="23"/>
  <c r="S17" i="23"/>
  <c r="Q17" i="23"/>
  <c r="Q16" i="23"/>
  <c r="R10" i="23" l="1"/>
  <c r="S10" i="23"/>
  <c r="R11" i="23"/>
  <c r="S11" i="23"/>
  <c r="R12" i="23"/>
  <c r="S12" i="23"/>
  <c r="R13" i="23"/>
  <c r="S13" i="23"/>
  <c r="R14" i="23"/>
  <c r="S14" i="23"/>
  <c r="R15" i="23"/>
  <c r="S15" i="23"/>
  <c r="Q11" i="23"/>
  <c r="Q12" i="23"/>
  <c r="Q13" i="23"/>
  <c r="Q14" i="23"/>
  <c r="Q15" i="23"/>
  <c r="Q10" i="23"/>
  <c r="R7" i="23"/>
  <c r="S7" i="23"/>
  <c r="U24" i="23"/>
  <c r="U23" i="23"/>
  <c r="U22" i="23"/>
  <c r="U21" i="23"/>
  <c r="U20" i="23"/>
  <c r="U19" i="23"/>
  <c r="U18" i="23"/>
  <c r="U17" i="23"/>
  <c r="U16" i="23"/>
  <c r="U11" i="23"/>
  <c r="U12" i="23"/>
  <c r="U13" i="23"/>
  <c r="U14" i="23"/>
  <c r="U15" i="23"/>
  <c r="U10" i="23"/>
  <c r="U9" i="23"/>
  <c r="U8" i="23"/>
  <c r="U7" i="23"/>
  <c r="U6" i="23"/>
  <c r="J21" i="23"/>
  <c r="K21" i="23"/>
  <c r="J22" i="23"/>
  <c r="K22" i="23"/>
  <c r="J23" i="23"/>
  <c r="K23" i="23"/>
  <c r="J24" i="23"/>
  <c r="K24" i="23"/>
  <c r="J25" i="23"/>
  <c r="K25" i="23"/>
  <c r="I22" i="23"/>
  <c r="I23" i="23"/>
  <c r="I24" i="23"/>
  <c r="I25" i="23"/>
  <c r="I21" i="23"/>
  <c r="J18" i="23"/>
  <c r="K18" i="23"/>
  <c r="J19" i="23"/>
  <c r="K19" i="23"/>
  <c r="J20" i="23"/>
  <c r="K20" i="23"/>
  <c r="I19" i="23"/>
  <c r="I20" i="23"/>
  <c r="I18" i="23"/>
  <c r="J16" i="23"/>
  <c r="K16" i="23"/>
  <c r="J17" i="23"/>
  <c r="K17" i="23"/>
  <c r="I17" i="23"/>
  <c r="I16" i="23"/>
  <c r="J15" i="23"/>
  <c r="K15" i="23"/>
  <c r="I15" i="23"/>
  <c r="J13" i="23"/>
  <c r="K13" i="23"/>
  <c r="J14" i="23"/>
  <c r="K14" i="23"/>
  <c r="I14" i="23"/>
  <c r="I13" i="23"/>
  <c r="J12" i="23"/>
  <c r="K12" i="23"/>
  <c r="I12" i="23"/>
  <c r="I10" i="23"/>
  <c r="J10" i="23"/>
  <c r="K10" i="23"/>
  <c r="I11" i="23"/>
  <c r="J11" i="23"/>
  <c r="K11" i="23"/>
  <c r="J9" i="23"/>
  <c r="K9" i="23"/>
  <c r="I9" i="23"/>
  <c r="I7" i="23"/>
  <c r="J7" i="23"/>
  <c r="K7" i="23"/>
  <c r="J6" i="23"/>
  <c r="K6" i="23"/>
  <c r="I6" i="23"/>
  <c r="M22" i="23"/>
  <c r="M23" i="23"/>
  <c r="M24" i="23"/>
  <c r="M25" i="23"/>
  <c r="M21" i="23"/>
  <c r="M20" i="23"/>
  <c r="M19" i="23"/>
  <c r="M18" i="23"/>
  <c r="M17" i="23"/>
  <c r="M16" i="23"/>
  <c r="M15" i="23"/>
  <c r="M14" i="23"/>
  <c r="M13" i="23"/>
  <c r="M12" i="23"/>
  <c r="M11" i="23"/>
  <c r="M10" i="23"/>
  <c r="M9" i="23"/>
  <c r="M8" i="23"/>
  <c r="M7" i="23"/>
  <c r="M6" i="23"/>
  <c r="B31" i="23"/>
  <c r="R22" i="23" s="1"/>
  <c r="C31" i="23"/>
  <c r="S22" i="23" s="1"/>
  <c r="B32" i="23"/>
  <c r="R23" i="23" s="1"/>
  <c r="C32" i="23"/>
  <c r="S23" i="23" s="1"/>
  <c r="A32" i="23"/>
  <c r="Q23" i="23" s="1"/>
  <c r="A31" i="23"/>
  <c r="Q22" i="23" s="1"/>
  <c r="B29" i="23"/>
  <c r="R21" i="23" s="1"/>
  <c r="C29" i="23"/>
  <c r="S21" i="23" s="1"/>
  <c r="B30" i="23"/>
  <c r="C30" i="23"/>
  <c r="A30" i="23"/>
  <c r="A29" i="23"/>
  <c r="Q21" i="23" s="1"/>
  <c r="B20" i="23"/>
  <c r="C20" i="23"/>
  <c r="B21" i="23"/>
  <c r="C21" i="23"/>
  <c r="B22" i="23"/>
  <c r="C22" i="23"/>
  <c r="B23" i="23"/>
  <c r="C23" i="23"/>
  <c r="B24" i="23"/>
  <c r="C24" i="23"/>
  <c r="B25" i="23"/>
  <c r="C25" i="23"/>
  <c r="B26" i="23"/>
  <c r="C26" i="23"/>
  <c r="A21" i="23"/>
  <c r="A22" i="23"/>
  <c r="A23" i="23"/>
  <c r="A24" i="23"/>
  <c r="A25" i="23"/>
  <c r="A26" i="23"/>
  <c r="A20" i="23"/>
  <c r="B15" i="23"/>
  <c r="C15" i="23"/>
  <c r="B16" i="23"/>
  <c r="C16" i="23"/>
  <c r="B17" i="23"/>
  <c r="C17" i="23"/>
  <c r="B18" i="23"/>
  <c r="C18" i="23"/>
  <c r="B19" i="23"/>
  <c r="C19" i="23"/>
  <c r="A16" i="23"/>
  <c r="A17" i="23"/>
  <c r="A18" i="23"/>
  <c r="A19" i="23"/>
  <c r="A15" i="23"/>
  <c r="B13" i="23"/>
  <c r="R18" i="23" s="1"/>
  <c r="C13" i="23"/>
  <c r="S18" i="23" s="1"/>
  <c r="B14" i="23"/>
  <c r="R19" i="23" s="1"/>
  <c r="C14" i="23"/>
  <c r="S19" i="23" s="1"/>
  <c r="A14" i="23"/>
  <c r="Q19" i="23" s="1"/>
  <c r="A13" i="23"/>
  <c r="Q18" i="23" s="1"/>
  <c r="B12" i="23"/>
  <c r="C12" i="23"/>
  <c r="A12" i="23"/>
  <c r="B11" i="23"/>
  <c r="C11" i="23"/>
  <c r="A11" i="23"/>
  <c r="A9" i="23"/>
  <c r="B9" i="23"/>
  <c r="C9" i="23"/>
  <c r="A10" i="23"/>
  <c r="B10" i="23"/>
  <c r="C10" i="23"/>
  <c r="B8" i="23"/>
  <c r="R8" i="23" s="1"/>
  <c r="C8" i="23"/>
  <c r="S8" i="23" s="1"/>
  <c r="A8" i="23"/>
  <c r="Q8" i="23" s="1"/>
  <c r="B7" i="23"/>
  <c r="R6" i="23" s="1"/>
  <c r="C7" i="23"/>
  <c r="K8" i="23" s="1"/>
  <c r="A7" i="23"/>
  <c r="B6" i="23"/>
  <c r="C6" i="23"/>
  <c r="A6" i="23"/>
  <c r="R15" i="24" l="1"/>
  <c r="S11" i="24"/>
  <c r="S6" i="24"/>
  <c r="R6" i="24"/>
  <c r="I8" i="23"/>
  <c r="Q11" i="24" s="1"/>
  <c r="Q6" i="24"/>
  <c r="S6" i="23"/>
  <c r="S15" i="24" s="1"/>
  <c r="J8" i="23"/>
  <c r="R11" i="24" s="1"/>
  <c r="Q6" i="23"/>
  <c r="E32" i="23"/>
  <c r="E31" i="23"/>
  <c r="E30" i="23"/>
  <c r="E29" i="23"/>
  <c r="E28" i="23"/>
  <c r="E27" i="23"/>
  <c r="E21" i="23"/>
  <c r="E22" i="23"/>
  <c r="E23" i="23"/>
  <c r="E24" i="23"/>
  <c r="E25" i="23"/>
  <c r="E26" i="23"/>
  <c r="E20" i="23"/>
  <c r="E19" i="23"/>
  <c r="E18" i="23"/>
  <c r="E17" i="23"/>
  <c r="E16" i="23"/>
  <c r="E15" i="23"/>
  <c r="E14" i="23"/>
  <c r="E13" i="23"/>
  <c r="E12" i="23"/>
  <c r="E11" i="23"/>
  <c r="E10" i="23"/>
  <c r="E9" i="23"/>
  <c r="E8" i="23"/>
  <c r="E7" i="23"/>
  <c r="E6" i="23"/>
  <c r="T11" i="24" l="1"/>
  <c r="T6" i="24"/>
  <c r="K81" i="21"/>
  <c r="J55" i="21"/>
  <c r="K55" i="21" s="1"/>
  <c r="G30" i="23" s="1"/>
  <c r="J56" i="21"/>
  <c r="K56" i="21" s="1"/>
  <c r="O16" i="23" s="1"/>
  <c r="J57" i="21"/>
  <c r="K57" i="21" s="1"/>
  <c r="J58" i="21"/>
  <c r="K58" i="21" s="1"/>
  <c r="G32" i="23" s="1"/>
  <c r="W23" i="23" s="1"/>
  <c r="J25" i="21"/>
  <c r="K25" i="21" s="1"/>
  <c r="J26" i="21"/>
  <c r="K26" i="21" s="1"/>
  <c r="W12" i="23" s="1"/>
  <c r="J27" i="21"/>
  <c r="K27" i="21" s="1"/>
  <c r="J28" i="21"/>
  <c r="K28" i="21" s="1"/>
  <c r="J29" i="21"/>
  <c r="K29" i="21" s="1"/>
  <c r="W15" i="23" s="1"/>
  <c r="O17" i="23" l="1"/>
  <c r="G31" i="23"/>
  <c r="W22" i="23" s="1"/>
  <c r="G11" i="23"/>
  <c r="O14" i="23"/>
  <c r="W14" i="23"/>
  <c r="O13" i="23"/>
  <c r="W13" i="23"/>
  <c r="W11" i="23"/>
  <c r="O12" i="23"/>
  <c r="I70" i="21" l="1"/>
  <c r="I60" i="21"/>
  <c r="I51" i="21"/>
  <c r="I37" i="21"/>
  <c r="I31" i="21"/>
  <c r="I22" i="21"/>
  <c r="I15" i="21"/>
  <c r="I9" i="21"/>
  <c r="M7" i="21" l="1"/>
  <c r="J20" i="21"/>
  <c r="K20" i="21" s="1"/>
  <c r="G10" i="23" s="1"/>
  <c r="J19" i="21"/>
  <c r="K19" i="21" s="1"/>
  <c r="J13" i="21"/>
  <c r="E25" i="24"/>
  <c r="K4" i="24"/>
  <c r="J65" i="21"/>
  <c r="K65" i="21" s="1"/>
  <c r="O22" i="23" s="1"/>
  <c r="J66" i="21"/>
  <c r="K66" i="21" s="1"/>
  <c r="O23" i="23" s="1"/>
  <c r="J67" i="21"/>
  <c r="K67" i="21" s="1"/>
  <c r="O24" i="23" s="1"/>
  <c r="J68" i="21"/>
  <c r="K68" i="21" s="1"/>
  <c r="O25" i="23" s="1"/>
  <c r="J64" i="21"/>
  <c r="J54" i="21"/>
  <c r="J51" i="21" s="1"/>
  <c r="J44" i="21"/>
  <c r="K44" i="21" s="1"/>
  <c r="G21" i="23" s="1"/>
  <c r="J45" i="21"/>
  <c r="K45" i="21" s="1"/>
  <c r="G22" i="23" s="1"/>
  <c r="J46" i="21"/>
  <c r="K46" i="21" s="1"/>
  <c r="G23" i="23" s="1"/>
  <c r="J47" i="21"/>
  <c r="K47" i="21" s="1"/>
  <c r="G24" i="23" s="1"/>
  <c r="J48" i="21"/>
  <c r="K48" i="21" s="1"/>
  <c r="G25" i="23" s="1"/>
  <c r="J49" i="21"/>
  <c r="K49" i="21" s="1"/>
  <c r="G26" i="23" s="1"/>
  <c r="J43" i="21"/>
  <c r="J35" i="21"/>
  <c r="K35" i="21" s="1"/>
  <c r="J34" i="21"/>
  <c r="J24" i="21"/>
  <c r="J22" i="21" s="1"/>
  <c r="J17" i="21"/>
  <c r="J18" i="21"/>
  <c r="G9" i="23" l="1"/>
  <c r="O11" i="23"/>
  <c r="J60" i="21"/>
  <c r="J37" i="21"/>
  <c r="K34" i="21"/>
  <c r="J31" i="21"/>
  <c r="K13" i="21"/>
  <c r="G7" i="23" s="1"/>
  <c r="J9" i="21"/>
  <c r="K54" i="21"/>
  <c r="G29" i="23" s="1"/>
  <c r="W21" i="23" s="1"/>
  <c r="G14" i="23"/>
  <c r="W19" i="23" s="1"/>
  <c r="K17" i="21"/>
  <c r="O9" i="23" s="1"/>
  <c r="E21" i="24"/>
  <c r="K3" i="24"/>
  <c r="K64" i="21"/>
  <c r="O21" i="23" s="1"/>
  <c r="E22" i="24"/>
  <c r="E23" i="24"/>
  <c r="E24" i="24"/>
  <c r="E19" i="24"/>
  <c r="G13" i="23" l="1"/>
  <c r="W18" i="23" s="1"/>
  <c r="O15" i="23"/>
  <c r="W6" i="23"/>
  <c r="O8" i="23"/>
  <c r="F23" i="24"/>
  <c r="F18" i="24"/>
  <c r="F22" i="24"/>
  <c r="F24" i="24"/>
  <c r="F20" i="24"/>
  <c r="F21" i="24"/>
  <c r="F25" i="24"/>
  <c r="K43" i="21"/>
  <c r="G20" i="23" s="1"/>
  <c r="K23" i="21"/>
  <c r="K24" i="21"/>
  <c r="K18" i="21"/>
  <c r="W10" i="23" l="1"/>
  <c r="G8" i="23"/>
  <c r="W8" i="23" s="1"/>
  <c r="O10" i="23"/>
  <c r="E20" i="24"/>
  <c r="E18" i="24"/>
  <c r="J19" i="24" l="1"/>
  <c r="K2" i="24"/>
  <c r="Q7" i="23"/>
  <c r="Q15" i="24" s="1"/>
  <c r="T15" i="24" s="1"/>
  <c r="J16" i="21"/>
  <c r="K16" i="21" s="1"/>
  <c r="W7" i="23" s="1"/>
  <c r="K5" i="24" l="1"/>
  <c r="J15" i="21"/>
  <c r="J16" i="24" s="1"/>
  <c r="F19" i="24" l="1"/>
</calcChain>
</file>

<file path=xl/sharedStrings.xml><?xml version="1.0" encoding="utf-8"?>
<sst xmlns="http://schemas.openxmlformats.org/spreadsheetml/2006/main" count="397" uniqueCount="184">
  <si>
    <t>Analytics</t>
  </si>
  <si>
    <t>How to use</t>
  </si>
  <si>
    <t xml:space="preserve">2. For each credit, enter the number of expected points in Columns A-C, titled "Yes", "Maybe" and "No". </t>
  </si>
  <si>
    <t xml:space="preserve">* Feel free to customize this tool in any way that best suits your needs. Whether you need to add new columns or simply rearrange the layout to better fit your workflow, this tool is designed with flexibility in mind. </t>
  </si>
  <si>
    <t>Data Validation</t>
  </si>
  <si>
    <t>Yes</t>
  </si>
  <si>
    <t>Maybe</t>
  </si>
  <si>
    <t>No</t>
  </si>
  <si>
    <t>Blank</t>
  </si>
  <si>
    <t>points</t>
  </si>
  <si>
    <t>Certified Project</t>
  </si>
  <si>
    <t>Platinum Project</t>
  </si>
  <si>
    <t>Total Possible Points</t>
  </si>
  <si>
    <t>Integrative Process, Planning and Assessments (IP)</t>
  </si>
  <si>
    <t>Location and Transportation (LT)</t>
  </si>
  <si>
    <t>Sustainable Sites (SS)</t>
  </si>
  <si>
    <t>Water Efficiency (WE)</t>
  </si>
  <si>
    <t>Energy and Atmosphere (EA)</t>
  </si>
  <si>
    <t>Materials and Resources (MR)</t>
  </si>
  <si>
    <t>Indoor Environmental Quality (EQ)</t>
  </si>
  <si>
    <t>Project Priorities (PR)</t>
  </si>
  <si>
    <t>Project scorecard analytics</t>
  </si>
  <si>
    <t>Total</t>
  </si>
  <si>
    <t>Project scorecard</t>
  </si>
  <si>
    <t>Responsible Party</t>
  </si>
  <si>
    <t>Notes</t>
  </si>
  <si>
    <t>IPp1</t>
  </si>
  <si>
    <t>Climate Resilience Assessment</t>
  </si>
  <si>
    <t>Required</t>
  </si>
  <si>
    <t>Key:</t>
  </si>
  <si>
    <t>IPp2</t>
  </si>
  <si>
    <t>Human Impact Assessment</t>
  </si>
  <si>
    <t>Prerequisite</t>
  </si>
  <si>
    <t>IPp3</t>
  </si>
  <si>
    <t>Credit</t>
  </si>
  <si>
    <t>IPc1</t>
  </si>
  <si>
    <t>LTc1</t>
  </si>
  <si>
    <t>LTc2</t>
  </si>
  <si>
    <t>Transportation Demand Management</t>
  </si>
  <si>
    <t>LTc3</t>
  </si>
  <si>
    <t>Electric Vehicles</t>
  </si>
  <si>
    <t>SSc1</t>
  </si>
  <si>
    <t>Heat Island Reduction</t>
  </si>
  <si>
    <t>SSc2</t>
  </si>
  <si>
    <t>WEp1</t>
  </si>
  <si>
    <t xml:space="preserve">Water Metering and Reporting </t>
  </si>
  <si>
    <t>WEc1</t>
  </si>
  <si>
    <t>WEc2</t>
  </si>
  <si>
    <t>EAp1</t>
  </si>
  <si>
    <t>EAp2</t>
  </si>
  <si>
    <t>EAp3</t>
  </si>
  <si>
    <t>EAp4</t>
  </si>
  <si>
    <t>Fundamental Refrigerant Management</t>
  </si>
  <si>
    <t>EAc1</t>
  </si>
  <si>
    <t>EAc2</t>
  </si>
  <si>
    <t>EAc3</t>
  </si>
  <si>
    <t>EAc4</t>
  </si>
  <si>
    <t>EAc5</t>
  </si>
  <si>
    <t>EAc6</t>
  </si>
  <si>
    <t>EAc7</t>
  </si>
  <si>
    <t>MRc1</t>
  </si>
  <si>
    <t>MRc2</t>
  </si>
  <si>
    <t>EQp1</t>
  </si>
  <si>
    <t>EQp2</t>
  </si>
  <si>
    <t>EQc1</t>
  </si>
  <si>
    <t>EQc2</t>
  </si>
  <si>
    <t>EQc3</t>
  </si>
  <si>
    <t>EQc4</t>
  </si>
  <si>
    <t>EQc5</t>
  </si>
  <si>
    <t>Resilient Spaces</t>
  </si>
  <si>
    <t>PRc1</t>
  </si>
  <si>
    <t>Project Priorities</t>
  </si>
  <si>
    <t>Decarbonization</t>
  </si>
  <si>
    <t>Quality of Life</t>
  </si>
  <si>
    <t>Ecological Conservation and Restoration</t>
  </si>
  <si>
    <t>IP Prereq</t>
  </si>
  <si>
    <t>LT Credit</t>
  </si>
  <si>
    <t>IP Credit</t>
  </si>
  <si>
    <t>SS Credit</t>
  </si>
  <si>
    <t>WE Prereq</t>
  </si>
  <si>
    <t>WE Credit</t>
  </si>
  <si>
    <t>EA Prereq</t>
  </si>
  <si>
    <t>EQ Prereq</t>
  </si>
  <si>
    <t>MR Credit</t>
  </si>
  <si>
    <t>EQ Credit</t>
  </si>
  <si>
    <t>EA Credit</t>
  </si>
  <si>
    <t>3. For each prerequisite, utilize the checkbox in Columns A-C, titled "Yes", "Maybe" and "No". Please note prerequisites do not count toward point totals.</t>
  </si>
  <si>
    <r>
      <t xml:space="preserve">LEED v5 for Building Design and Construction: New Construction
</t>
    </r>
    <r>
      <rPr>
        <b/>
        <sz val="12"/>
        <color rgb="FFF7F8F6"/>
        <rFont val="Bahnschrift Bold"/>
      </rPr>
      <t xml:space="preserve">
</t>
    </r>
    <r>
      <rPr>
        <b/>
        <sz val="14"/>
        <color rgb="FFF7F8F6"/>
        <rFont val="Bahnschrift Bold"/>
      </rPr>
      <t xml:space="preserve">
Scorecard</t>
    </r>
  </si>
  <si>
    <t xml:space="preserve">BD+C NC credit category view </t>
  </si>
  <si>
    <t xml:space="preserve">BD+C NC impact area view </t>
  </si>
  <si>
    <t>1. Navigate to the "BD+C NC Credit Category View" tab</t>
  </si>
  <si>
    <t>Carbon Assessment</t>
  </si>
  <si>
    <t>Integrative Design Process</t>
  </si>
  <si>
    <t>LTc4</t>
  </si>
  <si>
    <t>LTc5</t>
  </si>
  <si>
    <t>Sensitive Land Protection</t>
  </si>
  <si>
    <t>Equitable Development</t>
  </si>
  <si>
    <t>Compact and Connected Development</t>
  </si>
  <si>
    <t>LEED v5 for Building Design and Construction: New Construction</t>
  </si>
  <si>
    <t>SSp1</t>
  </si>
  <si>
    <t>SSc3</t>
  </si>
  <si>
    <t>SSc4</t>
  </si>
  <si>
    <t>SSc5</t>
  </si>
  <si>
    <t>SSc6</t>
  </si>
  <si>
    <t>Minimize Site Disturbance</t>
  </si>
  <si>
    <t>Biodiverse Habitat</t>
  </si>
  <si>
    <t>Accessible Outdoor Space</t>
  </si>
  <si>
    <t>Rainwater Management</t>
  </si>
  <si>
    <t>Enhanced Resilient Site Design</t>
  </si>
  <si>
    <t>Light Pollution Reduction</t>
  </si>
  <si>
    <t>WEp2</t>
  </si>
  <si>
    <t>Minimum Water Efficiency</t>
  </si>
  <si>
    <t>Water Metering and Leak Detection</t>
  </si>
  <si>
    <t>Enhanced Water Efficiency</t>
  </si>
  <si>
    <t>EAp5</t>
  </si>
  <si>
    <t>Operational Carbon Projection and Decarbonization Plan</t>
  </si>
  <si>
    <t>Minimum Energy Efficiency</t>
  </si>
  <si>
    <t>Fundamental Commissioning</t>
  </si>
  <si>
    <t>Energy Metering and Reporting</t>
  </si>
  <si>
    <t>Electrification</t>
  </si>
  <si>
    <t>Reduce Peak Thermal Loads</t>
  </si>
  <si>
    <t>Enhanced Energy Efficiency</t>
  </si>
  <si>
    <t>Renewable Energy</t>
  </si>
  <si>
    <t>Enhanced Commissioning</t>
  </si>
  <si>
    <t>Grid Interactive</t>
  </si>
  <si>
    <t>Enhanced Refrigerant Management</t>
  </si>
  <si>
    <t>MRp1</t>
  </si>
  <si>
    <t>MRp2</t>
  </si>
  <si>
    <t>MRc3</t>
  </si>
  <si>
    <t>MRc4</t>
  </si>
  <si>
    <t>MRc5</t>
  </si>
  <si>
    <t>Planning for Zero Waste Operations</t>
  </si>
  <si>
    <t xml:space="preserve">Quantify and Assess Embodied Carbon </t>
  </si>
  <si>
    <t>Building and Materials Reuse</t>
  </si>
  <si>
    <t xml:space="preserve">Reduce Embodied Carbon </t>
  </si>
  <si>
    <t>Low-Emitting Materials</t>
  </si>
  <si>
    <t xml:space="preserve">Building Product Selection and Procurement </t>
  </si>
  <si>
    <t>Construction and Demolition Waste Diversion</t>
  </si>
  <si>
    <t>EQp3</t>
  </si>
  <si>
    <t xml:space="preserve">Construction Management </t>
  </si>
  <si>
    <t>Fundamental Air Quality</t>
  </si>
  <si>
    <t>No Smoking or Vehicle Idling</t>
  </si>
  <si>
    <t>Enhanced Air Quality</t>
  </si>
  <si>
    <t>Occupant Experience</t>
  </si>
  <si>
    <t xml:space="preserve">Accessibility and Inclusion </t>
  </si>
  <si>
    <t>Air Quality Testing and Monitoring</t>
  </si>
  <si>
    <t>PRc2</t>
  </si>
  <si>
    <t>LEED AP</t>
  </si>
  <si>
    <t xml:space="preserve">LT Credit </t>
  </si>
  <si>
    <t>MR Prereq</t>
  </si>
  <si>
    <t>Building Product Selection and Procurement</t>
  </si>
  <si>
    <t>Low Emitting Materials</t>
  </si>
  <si>
    <t>Construction Management</t>
  </si>
  <si>
    <t>Accessibility and Inclusion</t>
  </si>
  <si>
    <t>SS Prereq</t>
  </si>
  <si>
    <t>Minimized Site Disturbance</t>
  </si>
  <si>
    <t>Water Metering and Reporting</t>
  </si>
  <si>
    <t>Related Charts</t>
  </si>
  <si>
    <t>Total Possible Points by Credit Category</t>
  </si>
  <si>
    <t>Total Anticipated Points</t>
  </si>
  <si>
    <t>Provides an overview of points per credit category</t>
  </si>
  <si>
    <t>Provides a directional indicator of the credits per impact area.</t>
  </si>
  <si>
    <t>Provides basic analytics derived from points, credit, and prerequisite data entered.</t>
  </si>
  <si>
    <t>"Maybe": Points will count towards your totals.</t>
  </si>
  <si>
    <t>"No": Points will not count towards your totals.</t>
  </si>
  <si>
    <t>Total Anticipated Points Distribution</t>
  </si>
  <si>
    <t>Total Anticipated Points versus LEED Certification Levels</t>
  </si>
  <si>
    <t>Total Anticipated Points by Credit Category</t>
  </si>
  <si>
    <t>Anticipated Decarbonization Credits</t>
  </si>
  <si>
    <t>Anticipated Quality of Life Credits</t>
  </si>
  <si>
    <t>Anticipated Ecological Conservation and Restoration Credits</t>
  </si>
  <si>
    <t>4. For Project Priorities, utilize column H to enter up to 9 credit names and anticipated points per credit.</t>
  </si>
  <si>
    <t>5. "BD+C NC impact area view " tab will automatically update with all the decisions you made on the "BD+C NC Credit Category View" tab; no additional input is needed.</t>
  </si>
  <si>
    <t>Project Priority 1:</t>
  </si>
  <si>
    <t>Insert credit name</t>
  </si>
  <si>
    <t>Project Priority 2:</t>
  </si>
  <si>
    <t>Project Priority 3:</t>
  </si>
  <si>
    <t>Project Priority 4:</t>
  </si>
  <si>
    <t>Project Priority 5:</t>
  </si>
  <si>
    <t>Project Priority 6:</t>
  </si>
  <si>
    <t>Project Priority 7:</t>
  </si>
  <si>
    <t>Project Priority 8:</t>
  </si>
  <si>
    <t>Project Priority 9:</t>
  </si>
  <si>
    <t>"Yes": Points will count towards your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</si>
</sst>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1"/>
      <color theme="1"/>
      <name val="Calibri"/>
      <family val="2"/>
      <scheme val="minor"/>
    </font>
    <font>
      <sz val="10"/>
      <name val="Arial"/>
      <family val="2"/>
    </font>
    <font>
      <sz val="8"/>
      <color theme="1"/>
      <name val="Arial"/>
      <family val="2"/>
    </font>
    <font>
      <sz val="8"/>
      <name val="Arial"/>
      <family val="2"/>
    </font>
    <font>
      <b/>
      <sz val="12"/>
      <name val="Arial"/>
      <family val="2"/>
    </font>
    <font>
      <b/>
      <sz val="8"/>
      <name val="Arial"/>
      <family val="2"/>
    </font>
    <font>
      <sz val="11"/>
      <color theme="1"/>
      <name val="Arial"/>
      <family val="2"/>
    </font>
    <font>
      <b/>
      <sz val="7"/>
      <color rgb="FF7C7C7C"/>
      <name val="Arial"/>
      <family val="2"/>
    </font>
    <font>
      <sz val="18"/>
      <name val="Bahnschrift Light SemiCondensed"/>
      <family val="2"/>
    </font>
    <font>
      <b/>
      <sz val="11"/>
      <color theme="0"/>
      <name val="Bahnschrift SemiBold"/>
      <family val="2"/>
    </font>
    <font>
      <b/>
      <sz val="10"/>
      <name val="Bahnschrift Regular"/>
    </font>
    <font>
      <b/>
      <sz val="10"/>
      <color theme="0"/>
      <name val="Bahnschrift SemiBold"/>
      <family val="2"/>
    </font>
    <font>
      <sz val="11"/>
      <color theme="1"/>
      <name val="Bahnschrift SemiBold"/>
      <family val="2"/>
    </font>
    <font>
      <sz val="11"/>
      <name val="Bahnschrift Light SemiCondensed"/>
      <family val="2"/>
    </font>
    <font>
      <sz val="11"/>
      <color theme="1"/>
      <name val="Bahnschrift Regular"/>
    </font>
    <font>
      <sz val="11"/>
      <name val="Bahnschrift Regular"/>
    </font>
    <font>
      <sz val="11"/>
      <color theme="0"/>
      <name val="Bahnschrift SemiBold"/>
      <family val="2"/>
    </font>
    <font>
      <sz val="8"/>
      <name val="Calibri"/>
      <family val="2"/>
      <scheme val="minor"/>
    </font>
    <font>
      <sz val="11"/>
      <name val="Arial"/>
      <family val="2"/>
    </font>
    <font>
      <b/>
      <sz val="11"/>
      <color theme="1"/>
      <name val="Calibri"/>
      <family val="2"/>
      <scheme val="minor"/>
    </font>
    <font>
      <sz val="11"/>
      <color rgb="FF000000"/>
      <name val="Bahnschrift Light SemiCondensed"/>
      <family val="2"/>
    </font>
    <font>
      <sz val="11"/>
      <color theme="0"/>
      <name val="Bahnschrift SemiCondensed"/>
      <family val="2"/>
    </font>
    <font>
      <b/>
      <sz val="11"/>
      <color theme="1"/>
      <name val="Bahnschrift Light SemiCondensed"/>
      <family val="2"/>
    </font>
    <font>
      <sz val="11"/>
      <color theme="1"/>
      <name val="Bahnschrift Light SemiCondensed"/>
      <family val="2"/>
    </font>
    <font>
      <sz val="14"/>
      <color theme="0"/>
      <name val="Bahnschrift Light SemiCondensed"/>
      <family val="2"/>
    </font>
    <font>
      <b/>
      <sz val="14"/>
      <color rgb="FF343434"/>
      <name val="Bahnschrift Bold"/>
    </font>
    <font>
      <b/>
      <sz val="22"/>
      <color rgb="FF343434"/>
      <name val="Bahnschrift Bold"/>
    </font>
    <font>
      <sz val="11"/>
      <color theme="1"/>
      <name val="Bahnschrift"/>
      <family val="2"/>
    </font>
    <font>
      <sz val="11"/>
      <color rgb="FF343434"/>
      <name val="Bahnschrift"/>
      <family val="2"/>
    </font>
    <font>
      <sz val="11"/>
      <color rgb="FF000000"/>
      <name val="Bahnschrift"/>
      <family val="2"/>
    </font>
    <font>
      <sz val="8"/>
      <color theme="1"/>
      <name val="Bahnschrift"/>
      <family val="2"/>
    </font>
    <font>
      <sz val="11"/>
      <name val="Bahnschrift"/>
      <family val="2"/>
    </font>
    <font>
      <sz val="10"/>
      <color rgb="FF343434"/>
      <name val="Bahnschrift"/>
      <family val="2"/>
    </font>
    <font>
      <sz val="10"/>
      <color theme="1"/>
      <name val="Calibri"/>
      <family val="2"/>
      <scheme val="minor"/>
    </font>
    <font>
      <b/>
      <sz val="11"/>
      <color rgb="FF343434"/>
      <name val="Bahnschrift Bold"/>
    </font>
    <font>
      <sz val="11"/>
      <name val="Bahnschrift SemiBold"/>
      <family val="2"/>
    </font>
    <font>
      <b/>
      <sz val="11"/>
      <name val="Bahnschrift SemiBold"/>
      <family val="2"/>
    </font>
    <font>
      <sz val="11"/>
      <color theme="0"/>
      <name val="Calibri"/>
      <family val="2"/>
      <scheme val="minor"/>
    </font>
    <font>
      <sz val="11"/>
      <color rgb="FF343434"/>
      <name val="Arial"/>
      <family val="2"/>
    </font>
    <font>
      <sz val="11"/>
      <name val="Calibri"/>
      <family val="2"/>
      <scheme val="minor"/>
    </font>
    <font>
      <sz val="10"/>
      <name val="Calibri"/>
      <family val="2"/>
      <scheme val="minor"/>
    </font>
    <font>
      <sz val="14"/>
      <name val="Calibri"/>
      <family val="2"/>
      <scheme val="minor"/>
    </font>
    <font>
      <b/>
      <sz val="10"/>
      <name val="Bahnschrift"/>
      <family val="2"/>
    </font>
    <font>
      <sz val="10"/>
      <name val="Bahnschrift"/>
      <family val="2"/>
    </font>
    <font>
      <b/>
      <sz val="14"/>
      <color rgb="FFF7F8F6"/>
      <name val="Bahnschrift Bold"/>
    </font>
    <font>
      <b/>
      <sz val="12"/>
      <color rgb="FFF7F8F6"/>
      <name val="Bahnschrift Bold"/>
    </font>
    <font>
      <sz val="8"/>
      <color theme="0"/>
      <name val="Calibri"/>
      <family val="2"/>
      <scheme val="minor"/>
    </font>
    <font>
      <sz val="8"/>
      <name val="Bahnschrift"/>
      <family val="2"/>
    </font>
    <font>
      <sz val="10"/>
      <color theme="0"/>
      <name val="Calibri"/>
      <family val="2"/>
      <scheme val="minor"/>
    </font>
    <font>
      <sz val="8"/>
      <name val="Bahnschrift Light SemiCondensed"/>
      <family val="2"/>
    </font>
    <font>
      <b/>
      <sz val="11"/>
      <name val="Bahnschrift Light SemiCondensed"/>
      <family val="2"/>
    </font>
    <font>
      <sz val="11"/>
      <color theme="0"/>
      <name val="Bahnschrift SemiCondensed"/>
    </font>
    <font>
      <sz val="14"/>
      <name val="Bahnschrift Light SemiCondensed"/>
      <family val="2"/>
    </font>
    <font>
      <b/>
      <sz val="14"/>
      <name val="Bahnschrift Light SemiCondensed"/>
      <family val="2"/>
    </font>
    <font>
      <sz val="12"/>
      <name val="Bahnschrift Light SemiCondensed"/>
      <family val="2"/>
    </font>
    <font>
      <u/>
      <sz val="11"/>
      <name val="Calibri"/>
      <family val="2"/>
      <scheme val="minor"/>
    </font>
    <font>
      <sz val="11"/>
      <color rgb="FF343434"/>
      <name val="Bahnschrift Bold"/>
    </font>
    <font>
      <sz val="10"/>
      <name val="Bahnschrift"/>
    </font>
    <font>
      <sz val="11"/>
      <name val="Bahnschrift Light SemiCondensed"/>
    </font>
    <font>
      <i/>
      <sz val="11"/>
      <name val="Bahnschrift Light SemiCondensed"/>
      <family val="2"/>
    </font>
  </fonts>
  <fills count="1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2"/>
        <bgColor indexed="64"/>
      </patternFill>
    </fill>
    <fill>
      <patternFill patternType="solid">
        <fgColor rgb="FF343434"/>
        <bgColor indexed="64"/>
      </patternFill>
    </fill>
    <fill>
      <patternFill patternType="solid">
        <fgColor theme="0" tint="-4.9989318521683403E-2"/>
        <bgColor indexed="64"/>
      </patternFill>
    </fill>
    <fill>
      <patternFill patternType="solid">
        <fgColor rgb="FF595E85"/>
        <bgColor rgb="FFF8F8F6"/>
      </patternFill>
    </fill>
    <fill>
      <patternFill patternType="solid">
        <fgColor rgb="FFF7F8F6"/>
        <bgColor indexed="64"/>
      </patternFill>
    </fill>
    <fill>
      <patternFill patternType="solid">
        <fgColor theme="0"/>
        <bgColor rgb="FF000000"/>
      </patternFill>
    </fill>
  </fills>
  <borders count="48">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right/>
      <top/>
      <bottom style="thin">
        <color theme="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rgb="FF343434"/>
      </left>
      <right style="thin">
        <color rgb="FF343434"/>
      </right>
      <top style="thin">
        <color rgb="FF343434"/>
      </top>
      <bottom style="thin">
        <color rgb="FF343434"/>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style="thin">
        <color theme="0" tint="-4.9989318521683403E-2"/>
      </top>
      <bottom style="thin">
        <color theme="0" tint="-4.9989318521683403E-2"/>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rgb="FF343434"/>
      </left>
      <right style="thin">
        <color theme="0"/>
      </right>
      <top style="thin">
        <color rgb="FF343434"/>
      </top>
      <bottom style="thin">
        <color theme="0"/>
      </bottom>
      <diagonal/>
    </border>
    <border>
      <left style="thin">
        <color theme="0"/>
      </left>
      <right style="thin">
        <color theme="0"/>
      </right>
      <top style="thin">
        <color rgb="FF343434"/>
      </top>
      <bottom style="thin">
        <color theme="0"/>
      </bottom>
      <diagonal/>
    </border>
    <border>
      <left style="thin">
        <color theme="0"/>
      </left>
      <right style="thin">
        <color rgb="FF343434"/>
      </right>
      <top style="thin">
        <color rgb="FF343434"/>
      </top>
      <bottom style="thin">
        <color theme="0"/>
      </bottom>
      <diagonal/>
    </border>
    <border>
      <left style="thin">
        <color rgb="FF343434"/>
      </left>
      <right style="thin">
        <color theme="0"/>
      </right>
      <top style="thin">
        <color theme="0"/>
      </top>
      <bottom style="thin">
        <color theme="0"/>
      </bottom>
      <diagonal/>
    </border>
    <border>
      <left style="thin">
        <color theme="0"/>
      </left>
      <right style="thin">
        <color rgb="FF343434"/>
      </right>
      <top style="thin">
        <color theme="0"/>
      </top>
      <bottom style="thin">
        <color theme="0"/>
      </bottom>
      <diagonal/>
    </border>
    <border>
      <left style="thin">
        <color rgb="FF343434"/>
      </left>
      <right style="thin">
        <color theme="0"/>
      </right>
      <top style="thin">
        <color theme="0"/>
      </top>
      <bottom style="thin">
        <color rgb="FF343434"/>
      </bottom>
      <diagonal/>
    </border>
    <border>
      <left style="thin">
        <color theme="0"/>
      </left>
      <right style="thin">
        <color theme="0"/>
      </right>
      <top style="thin">
        <color theme="0"/>
      </top>
      <bottom style="thin">
        <color rgb="FF343434"/>
      </bottom>
      <diagonal/>
    </border>
    <border>
      <left/>
      <right style="thin">
        <color theme="0"/>
      </right>
      <top style="thin">
        <color theme="0"/>
      </top>
      <bottom style="thin">
        <color rgb="FF343434"/>
      </bottom>
      <diagonal/>
    </border>
    <border>
      <left style="thin">
        <color theme="0"/>
      </left>
      <right style="thin">
        <color rgb="FF343434"/>
      </right>
      <top style="thin">
        <color theme="0"/>
      </top>
      <bottom style="thin">
        <color rgb="FF343434"/>
      </bottom>
      <diagonal/>
    </border>
    <border>
      <left/>
      <right/>
      <top style="thin">
        <color rgb="FF343434"/>
      </top>
      <bottom style="thin">
        <color rgb="FF343434"/>
      </bottom>
      <diagonal/>
    </border>
    <border>
      <left/>
      <right style="thin">
        <color rgb="FF343434"/>
      </right>
      <top style="thin">
        <color rgb="FF343434"/>
      </top>
      <bottom style="thin">
        <color rgb="FF343434"/>
      </bottom>
      <diagonal/>
    </border>
    <border>
      <left style="thin">
        <color rgb="FF343434"/>
      </left>
      <right/>
      <top style="thin">
        <color rgb="FF343434"/>
      </top>
      <bottom style="thin">
        <color rgb="FF343434"/>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s>
  <cellStyleXfs count="2">
    <xf numFmtId="0" fontId="0" fillId="0" borderId="0"/>
    <xf numFmtId="0" fontId="1" fillId="0" borderId="0"/>
  </cellStyleXfs>
  <cellXfs count="337">
    <xf numFmtId="0" fontId="0" fillId="0" borderId="0" xfId="0"/>
    <xf numFmtId="0" fontId="6" fillId="0" borderId="1" xfId="0" applyFont="1" applyBorder="1"/>
    <xf numFmtId="0" fontId="4" fillId="2" borderId="1" xfId="0" applyFont="1" applyFill="1" applyBorder="1" applyAlignment="1">
      <alignment horizontal="center" vertical="center"/>
    </xf>
    <xf numFmtId="0" fontId="0" fillId="0" borderId="1" xfId="0" applyBorder="1"/>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vertical="center"/>
    </xf>
    <xf numFmtId="0" fontId="20" fillId="0" borderId="1" xfId="0" applyFont="1" applyBorder="1" applyAlignment="1">
      <alignment vertical="center"/>
    </xf>
    <xf numFmtId="0" fontId="19" fillId="0" borderId="1" xfId="0" applyFont="1" applyBorder="1" applyAlignment="1">
      <alignment horizontal="left" vertical="center"/>
    </xf>
    <xf numFmtId="0" fontId="22" fillId="0" borderId="1" xfId="0" applyFont="1" applyBorder="1" applyAlignment="1">
      <alignment horizontal="left" vertical="center"/>
    </xf>
    <xf numFmtId="0" fontId="23" fillId="0" borderId="1" xfId="0" applyFont="1" applyBorder="1" applyAlignment="1">
      <alignment vertical="center"/>
    </xf>
    <xf numFmtId="0" fontId="23" fillId="0" borderId="1" xfId="0" applyFont="1" applyBorder="1" applyAlignment="1">
      <alignment horizontal="left" vertical="center"/>
    </xf>
    <xf numFmtId="9" fontId="0" fillId="0" borderId="1" xfId="0" applyNumberFormat="1" applyBorder="1" applyAlignment="1">
      <alignment vertical="center"/>
    </xf>
    <xf numFmtId="0" fontId="20" fillId="0" borderId="1" xfId="0" applyFont="1" applyBorder="1" applyAlignment="1">
      <alignment vertical="center" wrapText="1"/>
    </xf>
    <xf numFmtId="0" fontId="6" fillId="0" borderId="1" xfId="0" applyFont="1" applyBorder="1" applyAlignment="1">
      <alignment horizontal="center"/>
    </xf>
    <xf numFmtId="0" fontId="21" fillId="5" borderId="2" xfId="0" applyFont="1" applyFill="1" applyBorder="1" applyAlignment="1">
      <alignment horizontal="center" vertical="center"/>
    </xf>
    <xf numFmtId="0" fontId="21" fillId="6" borderId="2" xfId="0" applyFont="1" applyFill="1" applyBorder="1" applyAlignment="1">
      <alignment horizontal="center" vertical="center"/>
    </xf>
    <xf numFmtId="0" fontId="21" fillId="7" borderId="2" xfId="0" applyFont="1" applyFill="1" applyBorder="1" applyAlignment="1">
      <alignment horizontal="center" vertical="center"/>
    </xf>
    <xf numFmtId="0" fontId="21" fillId="9" borderId="2" xfId="0" applyFont="1" applyFill="1" applyBorder="1" applyAlignment="1">
      <alignment horizontal="center" vertical="center"/>
    </xf>
    <xf numFmtId="0" fontId="0" fillId="0" borderId="3" xfId="0" applyBorder="1"/>
    <xf numFmtId="0" fontId="25" fillId="2" borderId="1" xfId="0" applyFont="1" applyFill="1" applyBorder="1" applyAlignment="1">
      <alignment horizontal="left" vertical="center"/>
    </xf>
    <xf numFmtId="0" fontId="21" fillId="4" borderId="2" xfId="0" applyFont="1" applyFill="1" applyBorder="1" applyAlignment="1">
      <alignment horizontal="center" vertical="center"/>
    </xf>
    <xf numFmtId="0" fontId="21" fillId="3" borderId="2" xfId="0" applyFont="1" applyFill="1" applyBorder="1" applyAlignment="1">
      <alignment horizontal="center" vertical="center"/>
    </xf>
    <xf numFmtId="0" fontId="23" fillId="0" borderId="4" xfId="0" applyFont="1" applyBorder="1" applyAlignment="1">
      <alignment vertical="center"/>
    </xf>
    <xf numFmtId="0" fontId="27" fillId="0" borderId="1" xfId="0" applyFont="1" applyBorder="1" applyAlignment="1">
      <alignment horizontal="center" vertical="center"/>
    </xf>
    <xf numFmtId="0" fontId="20" fillId="0" borderId="3" xfId="0" applyFont="1" applyBorder="1" applyAlignment="1">
      <alignment vertical="center"/>
    </xf>
    <xf numFmtId="0" fontId="20" fillId="12" borderId="14" xfId="0" applyFont="1" applyFill="1" applyBorder="1" applyAlignment="1">
      <alignment horizontal="left" vertical="center"/>
    </xf>
    <xf numFmtId="0" fontId="0" fillId="2" borderId="1" xfId="0" applyFill="1" applyBorder="1" applyAlignment="1">
      <alignment horizontal="left"/>
    </xf>
    <xf numFmtId="0" fontId="13" fillId="2" borderId="1" xfId="0" applyFont="1" applyFill="1" applyBorder="1" applyAlignment="1">
      <alignment horizontal="left" vertical="center"/>
    </xf>
    <xf numFmtId="0" fontId="20" fillId="2" borderId="0" xfId="0" applyFont="1" applyFill="1" applyAlignment="1">
      <alignment horizontal="left" vertical="center"/>
    </xf>
    <xf numFmtId="0" fontId="20" fillId="2" borderId="11" xfId="0" applyFont="1" applyFill="1" applyBorder="1" applyAlignment="1">
      <alignment horizontal="left" vertical="center"/>
    </xf>
    <xf numFmtId="0" fontId="33" fillId="0" borderId="1" xfId="0" applyFont="1" applyBorder="1"/>
    <xf numFmtId="0" fontId="33" fillId="0" borderId="3" xfId="0" applyFont="1" applyBorder="1"/>
    <xf numFmtId="0" fontId="0" fillId="0" borderId="9" xfId="0" applyBorder="1" applyAlignment="1">
      <alignment vertical="center"/>
    </xf>
    <xf numFmtId="0" fontId="0" fillId="0" borderId="2" xfId="0" applyBorder="1" applyAlignment="1">
      <alignment horizontal="center"/>
    </xf>
    <xf numFmtId="0" fontId="34" fillId="2" borderId="1" xfId="0" applyFont="1" applyFill="1" applyBorder="1" applyAlignment="1">
      <alignment horizontal="left"/>
    </xf>
    <xf numFmtId="0" fontId="0" fillId="0" borderId="2" xfId="0" applyBorder="1" applyAlignment="1">
      <alignment vertical="center"/>
    </xf>
    <xf numFmtId="0" fontId="20" fillId="12" borderId="3" xfId="0" applyFont="1" applyFill="1" applyBorder="1" applyAlignment="1">
      <alignment vertical="center"/>
    </xf>
    <xf numFmtId="0" fontId="13" fillId="2" borderId="1" xfId="0" applyFont="1" applyFill="1" applyBorder="1" applyAlignment="1">
      <alignment horizontal="center" vertical="center"/>
    </xf>
    <xf numFmtId="0" fontId="8" fillId="2" borderId="1" xfId="0" applyFont="1" applyFill="1" applyBorder="1" applyAlignment="1">
      <alignment vertical="center"/>
    </xf>
    <xf numFmtId="0" fontId="5" fillId="2" borderId="1" xfId="0" applyFont="1" applyFill="1" applyBorder="1" applyAlignment="1">
      <alignment vertical="center"/>
    </xf>
    <xf numFmtId="0" fontId="4" fillId="2" borderId="1" xfId="0" applyFont="1" applyFill="1" applyBorder="1" applyAlignment="1">
      <alignment vertical="center"/>
    </xf>
    <xf numFmtId="0" fontId="26" fillId="2" borderId="4" xfId="0" applyFont="1" applyFill="1" applyBorder="1" applyAlignment="1">
      <alignment horizontal="left" vertical="center"/>
    </xf>
    <xf numFmtId="0" fontId="25" fillId="2" borderId="5" xfId="0" applyFont="1" applyFill="1" applyBorder="1" applyAlignment="1">
      <alignment horizontal="left" vertical="center"/>
    </xf>
    <xf numFmtId="0" fontId="25" fillId="2" borderId="2" xfId="0" applyFont="1" applyFill="1" applyBorder="1" applyAlignment="1">
      <alignment horizontal="left" vertical="center"/>
    </xf>
    <xf numFmtId="0" fontId="28" fillId="0" borderId="1" xfId="0" applyFont="1" applyBorder="1"/>
    <xf numFmtId="0" fontId="18" fillId="2" borderId="1" xfId="0" applyFont="1" applyFill="1" applyBorder="1" applyAlignment="1">
      <alignment horizontal="center" vertical="center"/>
    </xf>
    <xf numFmtId="0" fontId="6" fillId="0" borderId="2" xfId="0" applyFont="1" applyBorder="1"/>
    <xf numFmtId="0" fontId="27" fillId="0" borderId="9" xfId="0" applyFont="1" applyBorder="1" applyAlignment="1">
      <alignment horizontal="center"/>
    </xf>
    <xf numFmtId="0" fontId="27" fillId="2" borderId="1" xfId="0" applyFont="1" applyFill="1" applyBorder="1" applyAlignment="1">
      <alignment horizontal="center"/>
    </xf>
    <xf numFmtId="0" fontId="11" fillId="4" borderId="1" xfId="0" applyFont="1" applyFill="1" applyBorder="1" applyAlignment="1">
      <alignment horizontal="center" vertical="center"/>
    </xf>
    <xf numFmtId="0" fontId="6" fillId="0" borderId="4" xfId="0" applyFont="1" applyBorder="1"/>
    <xf numFmtId="0" fontId="29" fillId="12" borderId="14" xfId="0" applyFont="1" applyFill="1" applyBorder="1" applyAlignment="1">
      <alignment horizontal="center"/>
    </xf>
    <xf numFmtId="0" fontId="13" fillId="12" borderId="14" xfId="0" applyFont="1" applyFill="1" applyBorder="1" applyAlignment="1">
      <alignment horizontal="left"/>
    </xf>
    <xf numFmtId="0" fontId="32" fillId="0" borderId="18" xfId="0" applyFont="1" applyBorder="1" applyAlignment="1">
      <alignment horizontal="left"/>
    </xf>
    <xf numFmtId="0" fontId="13" fillId="2" borderId="1" xfId="0" applyFont="1" applyFill="1" applyBorder="1" applyAlignment="1">
      <alignment horizontal="center"/>
    </xf>
    <xf numFmtId="0" fontId="32" fillId="0" borderId="19" xfId="0" applyFont="1" applyBorder="1" applyAlignment="1">
      <alignment horizontal="center"/>
    </xf>
    <xf numFmtId="0" fontId="29" fillId="2" borderId="1" xfId="0" applyFont="1" applyFill="1" applyBorder="1" applyAlignment="1">
      <alignment horizontal="center"/>
    </xf>
    <xf numFmtId="0" fontId="32" fillId="0" borderId="20" xfId="0" applyFont="1" applyBorder="1" applyAlignment="1">
      <alignment horizontal="left"/>
    </xf>
    <xf numFmtId="0" fontId="32" fillId="0" borderId="23" xfId="0" applyFont="1" applyBorder="1" applyAlignment="1">
      <alignment horizontal="center"/>
    </xf>
    <xf numFmtId="0" fontId="30" fillId="0" borderId="1" xfId="0" applyFont="1" applyBorder="1"/>
    <xf numFmtId="0" fontId="30" fillId="2" borderId="1" xfId="0" applyFont="1" applyFill="1" applyBorder="1"/>
    <xf numFmtId="0" fontId="10" fillId="2" borderId="2" xfId="0" applyFont="1" applyFill="1" applyBorder="1"/>
    <xf numFmtId="0" fontId="10" fillId="2" borderId="1" xfId="0" applyFont="1" applyFill="1" applyBorder="1"/>
    <xf numFmtId="0" fontId="10" fillId="2" borderId="1" xfId="0" applyFont="1" applyFill="1" applyBorder="1" applyAlignment="1">
      <alignment horizontal="center"/>
    </xf>
    <xf numFmtId="0" fontId="2" fillId="0" borderId="1" xfId="0" applyFont="1" applyBorder="1"/>
    <xf numFmtId="0" fontId="2" fillId="0" borderId="3" xfId="0" applyFont="1" applyBorder="1"/>
    <xf numFmtId="0" fontId="6" fillId="0" borderId="3" xfId="0" applyFont="1" applyBorder="1"/>
    <xf numFmtId="0" fontId="27" fillId="0" borderId="1" xfId="0" applyFont="1" applyBorder="1"/>
    <xf numFmtId="0" fontId="27" fillId="2" borderId="1" xfId="0" applyFont="1" applyFill="1" applyBorder="1"/>
    <xf numFmtId="0" fontId="9" fillId="5" borderId="9" xfId="0" applyFont="1" applyFill="1" applyBorder="1" applyAlignment="1">
      <alignment horizontal="center" vertical="center"/>
    </xf>
    <xf numFmtId="0" fontId="12" fillId="0" borderId="9" xfId="0" applyFont="1" applyBorder="1"/>
    <xf numFmtId="0" fontId="13" fillId="2" borderId="2" xfId="0" applyFont="1" applyFill="1" applyBorder="1" applyAlignment="1">
      <alignment horizontal="left"/>
    </xf>
    <xf numFmtId="0" fontId="13" fillId="2" borderId="12" xfId="0" applyFont="1" applyFill="1" applyBorder="1" applyAlignment="1">
      <alignment horizontal="left"/>
    </xf>
    <xf numFmtId="0" fontId="13" fillId="2" borderId="3" xfId="0" applyFont="1" applyFill="1" applyBorder="1" applyAlignment="1">
      <alignment horizontal="center"/>
    </xf>
    <xf numFmtId="0" fontId="29" fillId="0" borderId="1" xfId="0" applyFont="1" applyBorder="1" applyAlignment="1">
      <alignment horizontal="center"/>
    </xf>
    <xf numFmtId="0" fontId="12" fillId="0" borderId="1" xfId="0" applyFont="1" applyBorder="1"/>
    <xf numFmtId="0" fontId="18" fillId="0" borderId="1" xfId="0" applyFont="1" applyBorder="1"/>
    <xf numFmtId="0" fontId="27" fillId="0" borderId="1" xfId="0" applyFont="1" applyBorder="1" applyAlignment="1">
      <alignment horizontal="center"/>
    </xf>
    <xf numFmtId="0" fontId="13" fillId="2" borderId="1" xfId="0" applyFont="1" applyFill="1" applyBorder="1"/>
    <xf numFmtId="0" fontId="27" fillId="0" borderId="9" xfId="0" applyFont="1" applyBorder="1"/>
    <xf numFmtId="0" fontId="13" fillId="2" borderId="2" xfId="0" applyFont="1" applyFill="1" applyBorder="1"/>
    <xf numFmtId="0" fontId="29" fillId="0" borderId="9" xfId="0" applyFont="1" applyBorder="1" applyAlignment="1">
      <alignment horizontal="center"/>
    </xf>
    <xf numFmtId="0" fontId="29" fillId="2" borderId="9" xfId="0" applyFont="1" applyFill="1" applyBorder="1" applyAlignment="1">
      <alignment horizontal="center"/>
    </xf>
    <xf numFmtId="0" fontId="29" fillId="2" borderId="3" xfId="0" applyFont="1" applyFill="1" applyBorder="1" applyAlignment="1">
      <alignment horizontal="center"/>
    </xf>
    <xf numFmtId="0" fontId="13" fillId="0" borderId="12" xfId="0" applyFont="1" applyBorder="1" applyAlignment="1">
      <alignment horizontal="left"/>
    </xf>
    <xf numFmtId="0" fontId="13" fillId="0" borderId="3" xfId="0" applyFont="1" applyBorder="1" applyAlignment="1">
      <alignment horizontal="center"/>
    </xf>
    <xf numFmtId="0" fontId="13" fillId="0" borderId="2" xfId="0" applyFont="1" applyBorder="1" applyAlignment="1">
      <alignment horizontal="left"/>
    </xf>
    <xf numFmtId="0" fontId="13" fillId="0" borderId="1" xfId="0" applyFont="1" applyBorder="1" applyAlignment="1">
      <alignment horizontal="center"/>
    </xf>
    <xf numFmtId="0" fontId="13" fillId="2" borderId="1" xfId="0" quotePrefix="1" applyFont="1" applyFill="1" applyBorder="1" applyAlignment="1">
      <alignment horizontal="center"/>
    </xf>
    <xf numFmtId="0" fontId="31" fillId="2" borderId="1" xfId="0" applyFont="1" applyFill="1" applyBorder="1"/>
    <xf numFmtId="0" fontId="14" fillId="0" borderId="2" xfId="0" applyFont="1" applyBorder="1"/>
    <xf numFmtId="0" fontId="14" fillId="0" borderId="1" xfId="0" applyFont="1" applyBorder="1"/>
    <xf numFmtId="0" fontId="14" fillId="0" borderId="1" xfId="0" applyFont="1" applyBorder="1" applyAlignment="1">
      <alignment horizontal="center"/>
    </xf>
    <xf numFmtId="0" fontId="3" fillId="0" borderId="1" xfId="0" applyFont="1" applyBorder="1"/>
    <xf numFmtId="0" fontId="14" fillId="2" borderId="2" xfId="0" applyFont="1" applyFill="1" applyBorder="1"/>
    <xf numFmtId="0" fontId="14" fillId="2" borderId="1" xfId="0" applyFont="1" applyFill="1" applyBorder="1"/>
    <xf numFmtId="0" fontId="15" fillId="2" borderId="2" xfId="0" applyFont="1" applyFill="1" applyBorder="1" applyAlignment="1">
      <alignment horizontal="left"/>
    </xf>
    <xf numFmtId="0" fontId="15" fillId="2" borderId="1" xfId="0" applyFont="1" applyFill="1" applyBorder="1" applyAlignment="1">
      <alignment horizontal="left"/>
    </xf>
    <xf numFmtId="0" fontId="15" fillId="2" borderId="1" xfId="0" applyFont="1" applyFill="1" applyBorder="1"/>
    <xf numFmtId="0" fontId="15" fillId="2" borderId="1" xfId="0" applyFont="1" applyFill="1" applyBorder="1" applyAlignment="1">
      <alignment horizontal="center"/>
    </xf>
    <xf numFmtId="0" fontId="16" fillId="10" borderId="1" xfId="0" applyFont="1" applyFill="1" applyBorder="1" applyAlignment="1">
      <alignment horizontal="center" vertical="center"/>
    </xf>
    <xf numFmtId="0" fontId="9" fillId="11" borderId="17" xfId="0" applyFont="1" applyFill="1" applyBorder="1" applyAlignment="1">
      <alignment horizontal="center" vertical="center"/>
    </xf>
    <xf numFmtId="0" fontId="16" fillId="11" borderId="17" xfId="0" applyFont="1" applyFill="1" applyBorder="1" applyAlignment="1">
      <alignment horizontal="right" vertical="center"/>
    </xf>
    <xf numFmtId="0" fontId="12" fillId="0" borderId="1" xfId="0" applyFont="1" applyBorder="1" applyAlignment="1">
      <alignment vertical="center"/>
    </xf>
    <xf numFmtId="0" fontId="7" fillId="2" borderId="3" xfId="0" applyFont="1" applyFill="1" applyBorder="1" applyAlignment="1">
      <alignment horizontal="center" vertical="center"/>
    </xf>
    <xf numFmtId="0" fontId="28" fillId="0" borderId="1" xfId="0" applyFont="1" applyBorder="1" applyAlignment="1">
      <alignment horizontal="center"/>
    </xf>
    <xf numFmtId="0" fontId="29" fillId="12" borderId="16" xfId="0" applyFont="1" applyFill="1" applyBorder="1" applyAlignment="1">
      <alignment horizontal="center"/>
    </xf>
    <xf numFmtId="0" fontId="13" fillId="0" borderId="3" xfId="0" applyFont="1" applyBorder="1" applyAlignment="1" applyProtection="1">
      <alignment horizontal="center"/>
      <protection locked="0"/>
    </xf>
    <xf numFmtId="0" fontId="26" fillId="2" borderId="4" xfId="0" applyFont="1" applyFill="1" applyBorder="1" applyAlignment="1">
      <alignment vertical="center"/>
    </xf>
    <xf numFmtId="0" fontId="26" fillId="2" borderId="5" xfId="0" applyFont="1" applyFill="1" applyBorder="1" applyAlignment="1">
      <alignment vertical="center"/>
    </xf>
    <xf numFmtId="0" fontId="28" fillId="0" borderId="4" xfId="0" applyFont="1" applyBorder="1"/>
    <xf numFmtId="0" fontId="28" fillId="0" borderId="5" xfId="0" applyFont="1" applyBorder="1"/>
    <xf numFmtId="0" fontId="1" fillId="14" borderId="31" xfId="0" applyFont="1" applyFill="1" applyBorder="1"/>
    <xf numFmtId="0" fontId="0" fillId="0" borderId="2" xfId="0" applyBorder="1"/>
    <xf numFmtId="0" fontId="1" fillId="14" borderId="25" xfId="0" applyFont="1" applyFill="1" applyBorder="1" applyAlignment="1">
      <alignment horizontal="left" vertical="top" wrapText="1"/>
    </xf>
    <xf numFmtId="0" fontId="1" fillId="14" borderId="25" xfId="0" applyFont="1" applyFill="1" applyBorder="1"/>
    <xf numFmtId="0" fontId="1" fillId="14" borderId="32" xfId="0" applyFont="1" applyFill="1" applyBorder="1" applyAlignment="1">
      <alignment horizontal="left" vertical="top" wrapText="1"/>
    </xf>
    <xf numFmtId="0" fontId="1" fillId="14" borderId="29" xfId="0" applyFont="1" applyFill="1" applyBorder="1"/>
    <xf numFmtId="0" fontId="1" fillId="14" borderId="30" xfId="0" applyFont="1" applyFill="1" applyBorder="1"/>
    <xf numFmtId="0" fontId="13" fillId="12" borderId="24" xfId="0" applyFont="1" applyFill="1" applyBorder="1" applyAlignment="1">
      <alignment vertical="center"/>
      <extLst>
        <ext xmlns:xfpb="http://schemas.microsoft.com/office/spreadsheetml/2022/featurepropertybag" uri="{C7286773-470A-42A8-94C5-96B5CB345126}">
          <xfpb:xfComplement i="0"/>
        </ext>
      </extLst>
    </xf>
    <xf numFmtId="0" fontId="20"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18" fillId="0" borderId="7" xfId="0" applyFont="1" applyBorder="1"/>
    <xf numFmtId="0" fontId="18" fillId="0" borderId="1" xfId="0" applyFont="1" applyBorder="1" applyAlignment="1">
      <alignment wrapText="1"/>
    </xf>
    <xf numFmtId="0" fontId="18" fillId="0" borderId="7" xfId="0" applyFont="1" applyBorder="1" applyAlignment="1">
      <alignment wrapText="1"/>
    </xf>
    <xf numFmtId="0" fontId="6" fillId="0" borderId="9" xfId="0" applyFont="1" applyBorder="1"/>
    <xf numFmtId="0" fontId="34" fillId="2" borderId="4" xfId="0" applyFont="1" applyFill="1" applyBorder="1" applyAlignment="1">
      <alignment horizontal="left"/>
    </xf>
    <xf numFmtId="0" fontId="38" fillId="0" borderId="9" xfId="0" applyFont="1" applyBorder="1"/>
    <xf numFmtId="0" fontId="12" fillId="0" borderId="2" xfId="0" applyFont="1" applyBorder="1"/>
    <xf numFmtId="0" fontId="6" fillId="0" borderId="10" xfId="0" applyFont="1" applyBorder="1"/>
    <xf numFmtId="0" fontId="3" fillId="0" borderId="9" xfId="0" applyFont="1" applyBorder="1"/>
    <xf numFmtId="0" fontId="24" fillId="15" borderId="7" xfId="0" applyFont="1" applyFill="1" applyBorder="1" applyAlignment="1">
      <alignment vertical="center" wrapText="1"/>
    </xf>
    <xf numFmtId="0" fontId="24" fillId="15" borderId="8" xfId="0" applyFont="1" applyFill="1" applyBorder="1" applyAlignment="1">
      <alignment vertical="center" wrapText="1"/>
    </xf>
    <xf numFmtId="0" fontId="24" fillId="15" borderId="6" xfId="0" applyFont="1" applyFill="1" applyBorder="1" applyAlignment="1">
      <alignment vertical="center" wrapText="1"/>
    </xf>
    <xf numFmtId="0" fontId="24" fillId="2" borderId="7" xfId="0" applyFont="1" applyFill="1" applyBorder="1" applyAlignment="1">
      <alignment vertical="center" wrapText="1"/>
    </xf>
    <xf numFmtId="0" fontId="24" fillId="2" borderId="8" xfId="0" applyFont="1" applyFill="1" applyBorder="1" applyAlignment="1">
      <alignment vertical="center" wrapText="1"/>
    </xf>
    <xf numFmtId="0" fontId="24" fillId="2" borderId="6" xfId="0" applyFont="1" applyFill="1" applyBorder="1" applyAlignment="1">
      <alignment vertical="center" wrapText="1"/>
    </xf>
    <xf numFmtId="0" fontId="39" fillId="0" borderId="2" xfId="0" applyFont="1" applyBorder="1"/>
    <xf numFmtId="0" fontId="39" fillId="0" borderId="1" xfId="0" applyFont="1" applyBorder="1"/>
    <xf numFmtId="0" fontId="39" fillId="0" borderId="2" xfId="0" applyFont="1" applyBorder="1" applyAlignment="1">
      <alignment horizontal="center"/>
    </xf>
    <xf numFmtId="0" fontId="41" fillId="0" borderId="2" xfId="0" applyFont="1" applyBorder="1" applyAlignment="1">
      <alignment vertical="center"/>
    </xf>
    <xf numFmtId="0" fontId="41" fillId="0" borderId="9" xfId="0" applyFont="1" applyBorder="1" applyAlignment="1">
      <alignment vertical="center"/>
    </xf>
    <xf numFmtId="0" fontId="40" fillId="0" borderId="3" xfId="0" applyFont="1" applyBorder="1"/>
    <xf numFmtId="0" fontId="40" fillId="0" borderId="1" xfId="0" applyFont="1" applyBorder="1"/>
    <xf numFmtId="0" fontId="39" fillId="0" borderId="1" xfId="0" applyFont="1" applyBorder="1" applyAlignment="1">
      <alignment horizontal="center"/>
    </xf>
    <xf numFmtId="0" fontId="39" fillId="2" borderId="1" xfId="0" applyFont="1" applyFill="1" applyBorder="1" applyAlignment="1">
      <alignment horizontal="left"/>
    </xf>
    <xf numFmtId="0" fontId="41" fillId="0" borderId="1" xfId="0" applyFont="1" applyBorder="1" applyAlignment="1">
      <alignment vertical="center"/>
    </xf>
    <xf numFmtId="0" fontId="39" fillId="0" borderId="1" xfId="0" applyFont="1" applyBorder="1" applyAlignment="1">
      <alignment horizontal="left"/>
    </xf>
    <xf numFmtId="0" fontId="39" fillId="2" borderId="1" xfId="0" applyFont="1" applyFill="1" applyBorder="1"/>
    <xf numFmtId="0" fontId="39" fillId="2" borderId="1" xfId="0" applyFont="1" applyFill="1" applyBorder="1" applyAlignment="1">
      <alignment horizontal="center"/>
    </xf>
    <xf numFmtId="0" fontId="39" fillId="2" borderId="2" xfId="0" applyFont="1" applyFill="1" applyBorder="1" applyAlignment="1">
      <alignment horizontal="center"/>
    </xf>
    <xf numFmtId="0" fontId="41" fillId="2" borderId="2" xfId="0" applyFont="1" applyFill="1" applyBorder="1" applyAlignment="1">
      <alignment vertical="center"/>
    </xf>
    <xf numFmtId="0" fontId="28" fillId="0" borderId="9" xfId="0" applyFont="1" applyBorder="1"/>
    <xf numFmtId="0" fontId="6" fillId="0" borderId="9" xfId="0" applyFont="1" applyBorder="1" applyAlignment="1">
      <alignment horizontal="center"/>
    </xf>
    <xf numFmtId="0" fontId="18" fillId="2" borderId="9" xfId="0" applyFont="1" applyFill="1" applyBorder="1" applyAlignment="1">
      <alignment horizontal="center" vertical="center"/>
    </xf>
    <xf numFmtId="0" fontId="6" fillId="0" borderId="6" xfId="0" applyFont="1" applyBorder="1"/>
    <xf numFmtId="0" fontId="18" fillId="0" borderId="9" xfId="0" applyFont="1" applyBorder="1"/>
    <xf numFmtId="0" fontId="18" fillId="0" borderId="9" xfId="0" applyFont="1" applyBorder="1" applyAlignment="1">
      <alignment wrapText="1"/>
    </xf>
    <xf numFmtId="0" fontId="39" fillId="0" borderId="9" xfId="0" applyFont="1" applyBorder="1"/>
    <xf numFmtId="0" fontId="39" fillId="2" borderId="3" xfId="0" applyFont="1" applyFill="1" applyBorder="1" applyAlignment="1">
      <alignment horizontal="center"/>
    </xf>
    <xf numFmtId="0" fontId="39" fillId="2" borderId="3" xfId="0" applyFont="1" applyFill="1" applyBorder="1"/>
    <xf numFmtId="0" fontId="39" fillId="2" borderId="3" xfId="0" applyFont="1" applyFill="1" applyBorder="1" applyAlignment="1">
      <alignment horizontal="left"/>
    </xf>
    <xf numFmtId="0" fontId="41" fillId="2" borderId="3" xfId="0" applyFont="1" applyFill="1" applyBorder="1" applyAlignment="1">
      <alignment vertical="center"/>
    </xf>
    <xf numFmtId="0" fontId="39" fillId="2" borderId="34" xfId="0" applyFont="1" applyFill="1" applyBorder="1"/>
    <xf numFmtId="0" fontId="39" fillId="2" borderId="35" xfId="0" applyFont="1" applyFill="1" applyBorder="1"/>
    <xf numFmtId="0" fontId="39" fillId="2" borderId="36" xfId="0" applyFont="1" applyFill="1" applyBorder="1"/>
    <xf numFmtId="0" fontId="39" fillId="2" borderId="37" xfId="0" applyFont="1" applyFill="1" applyBorder="1"/>
    <xf numFmtId="0" fontId="39" fillId="2" borderId="38" xfId="0" applyFont="1" applyFill="1" applyBorder="1"/>
    <xf numFmtId="0" fontId="39" fillId="2" borderId="37" xfId="0" applyFont="1" applyFill="1" applyBorder="1" applyAlignment="1">
      <alignment horizontal="center"/>
    </xf>
    <xf numFmtId="0" fontId="39" fillId="2" borderId="39" xfId="0" applyFont="1" applyFill="1" applyBorder="1" applyAlignment="1">
      <alignment horizontal="center"/>
    </xf>
    <xf numFmtId="0" fontId="39" fillId="2" borderId="40" xfId="0" applyFont="1" applyFill="1" applyBorder="1" applyAlignment="1">
      <alignment horizontal="center"/>
    </xf>
    <xf numFmtId="0" fontId="39" fillId="2" borderId="40" xfId="0" applyFont="1" applyFill="1" applyBorder="1"/>
    <xf numFmtId="0" fontId="39" fillId="2" borderId="41" xfId="0" applyFont="1" applyFill="1" applyBorder="1" applyAlignment="1">
      <alignment horizontal="center"/>
    </xf>
    <xf numFmtId="0" fontId="41" fillId="2" borderId="41" xfId="0" applyFont="1" applyFill="1" applyBorder="1" applyAlignment="1">
      <alignment vertical="center"/>
    </xf>
    <xf numFmtId="0" fontId="39" fillId="2" borderId="42" xfId="0" applyFont="1" applyFill="1" applyBorder="1"/>
    <xf numFmtId="0" fontId="26" fillId="2" borderId="7" xfId="0" applyFont="1" applyFill="1" applyBorder="1" applyAlignment="1">
      <alignment horizontal="left" vertical="center"/>
    </xf>
    <xf numFmtId="0" fontId="13" fillId="2" borderId="9" xfId="0" applyFont="1" applyFill="1" applyBorder="1" applyAlignment="1">
      <alignment horizontal="center" vertical="center"/>
    </xf>
    <xf numFmtId="0" fontId="25" fillId="2" borderId="8" xfId="0" applyFont="1" applyFill="1" applyBorder="1" applyAlignment="1">
      <alignment horizontal="left" vertical="center"/>
    </xf>
    <xf numFmtId="0" fontId="25" fillId="2" borderId="6" xfId="0" applyFont="1" applyFill="1" applyBorder="1" applyAlignment="1">
      <alignment horizontal="left" vertical="center"/>
    </xf>
    <xf numFmtId="0" fontId="0" fillId="0" borderId="4" xfId="0" applyBorder="1"/>
    <xf numFmtId="0" fontId="0" fillId="0" borderId="5" xfId="0" applyBorder="1"/>
    <xf numFmtId="0" fontId="43" fillId="14" borderId="0" xfId="0" applyFont="1" applyFill="1"/>
    <xf numFmtId="0" fontId="43" fillId="14" borderId="26" xfId="0" applyFont="1" applyFill="1" applyBorder="1"/>
    <xf numFmtId="0" fontId="43" fillId="14" borderId="0" xfId="0" applyFont="1" applyFill="1" applyAlignment="1">
      <alignment wrapText="1"/>
    </xf>
    <xf numFmtId="0" fontId="12" fillId="0" borderId="2" xfId="0" applyFont="1" applyBorder="1" applyAlignment="1">
      <alignment vertical="center"/>
    </xf>
    <xf numFmtId="0" fontId="6" fillId="0" borderId="3" xfId="0" applyFont="1" applyBorder="1" applyAlignment="1">
      <alignment wrapText="1"/>
    </xf>
    <xf numFmtId="0" fontId="37" fillId="2" borderId="1" xfId="0" applyFont="1" applyFill="1" applyBorder="1"/>
    <xf numFmtId="0" fontId="46" fillId="2" borderId="2" xfId="0" applyFont="1" applyFill="1" applyBorder="1"/>
    <xf numFmtId="0" fontId="46" fillId="2" borderId="3" xfId="0" applyFont="1" applyFill="1" applyBorder="1"/>
    <xf numFmtId="0" fontId="46" fillId="2" borderId="1" xfId="0" applyFont="1" applyFill="1" applyBorder="1"/>
    <xf numFmtId="0" fontId="43" fillId="14" borderId="27" xfId="0" applyFont="1" applyFill="1" applyBorder="1" applyAlignment="1">
      <alignment vertical="center"/>
    </xf>
    <xf numFmtId="0" fontId="43" fillId="14" borderId="0" xfId="0" applyFont="1" applyFill="1" applyAlignment="1">
      <alignment vertical="center"/>
    </xf>
    <xf numFmtId="0" fontId="47" fillId="2" borderId="1" xfId="0" applyFont="1" applyFill="1" applyBorder="1" applyAlignment="1">
      <alignment horizontal="center"/>
    </xf>
    <xf numFmtId="0" fontId="17" fillId="2" borderId="1" xfId="0" applyFont="1" applyFill="1" applyBorder="1"/>
    <xf numFmtId="0" fontId="17" fillId="2" borderId="1" xfId="0" applyFont="1" applyFill="1" applyBorder="1" applyAlignment="1">
      <alignment horizontal="center"/>
    </xf>
    <xf numFmtId="0" fontId="37" fillId="0" borderId="1" xfId="0" applyFont="1" applyBorder="1"/>
    <xf numFmtId="0" fontId="37" fillId="0" borderId="4" xfId="0" applyFont="1" applyBorder="1"/>
    <xf numFmtId="0" fontId="37" fillId="0" borderId="2" xfId="0" applyFont="1" applyBorder="1" applyAlignment="1">
      <alignment horizontal="center"/>
    </xf>
    <xf numFmtId="0" fontId="48" fillId="0" borderId="3" xfId="0" applyFont="1" applyBorder="1"/>
    <xf numFmtId="0" fontId="36" fillId="2" borderId="1" xfId="0" applyFont="1" applyFill="1" applyBorder="1" applyAlignment="1">
      <alignment vertical="center"/>
    </xf>
    <xf numFmtId="0" fontId="35" fillId="2" borderId="1" xfId="0" applyFont="1" applyFill="1" applyBorder="1" applyAlignment="1">
      <alignment vertical="center"/>
    </xf>
    <xf numFmtId="0" fontId="13" fillId="0" borderId="17" xfId="0" applyFont="1" applyBorder="1"/>
    <xf numFmtId="0" fontId="49" fillId="0" borderId="1" xfId="0" applyFont="1" applyBorder="1"/>
    <xf numFmtId="0" fontId="49" fillId="0" borderId="1" xfId="0" applyFont="1" applyBorder="1" applyAlignment="1">
      <alignment wrapText="1"/>
    </xf>
    <xf numFmtId="0" fontId="13" fillId="0" borderId="9" xfId="0" applyFont="1" applyBorder="1"/>
    <xf numFmtId="0" fontId="13" fillId="0" borderId="9" xfId="0" applyFont="1" applyBorder="1" applyAlignment="1">
      <alignment wrapText="1"/>
    </xf>
    <xf numFmtId="0" fontId="13" fillId="0" borderId="1" xfId="0" applyFont="1" applyBorder="1"/>
    <xf numFmtId="0" fontId="13" fillId="0" borderId="1" xfId="0" applyFont="1" applyBorder="1" applyAlignment="1">
      <alignment wrapText="1"/>
    </xf>
    <xf numFmtId="0" fontId="49" fillId="0" borderId="9" xfId="0" applyFont="1" applyBorder="1"/>
    <xf numFmtId="0" fontId="49" fillId="0" borderId="9" xfId="0" applyFont="1" applyBorder="1" applyAlignment="1">
      <alignment wrapText="1"/>
    </xf>
    <xf numFmtId="0" fontId="20" fillId="2" borderId="1" xfId="0" applyFont="1" applyFill="1" applyBorder="1" applyAlignment="1">
      <alignment horizontal="center" wrapText="1"/>
    </xf>
    <xf numFmtId="0" fontId="20" fillId="2" borderId="22" xfId="0" applyFont="1" applyFill="1" applyBorder="1" applyAlignment="1">
      <alignment horizontal="center" wrapText="1"/>
    </xf>
    <xf numFmtId="0" fontId="9"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8" borderId="9" xfId="0" applyFont="1" applyFill="1" applyBorder="1" applyAlignment="1">
      <alignment horizontal="center" vertical="center"/>
    </xf>
    <xf numFmtId="0" fontId="9" fillId="9" borderId="1" xfId="0" applyFont="1" applyFill="1" applyBorder="1" applyAlignment="1">
      <alignment horizontal="center" vertical="center"/>
    </xf>
    <xf numFmtId="0" fontId="9" fillId="3" borderId="1" xfId="0" applyFont="1" applyFill="1" applyBorder="1" applyAlignment="1">
      <alignment horizontal="center" vertical="center"/>
    </xf>
    <xf numFmtId="0" fontId="28" fillId="2" borderId="1" xfId="0" applyFont="1" applyFill="1" applyBorder="1" applyAlignment="1">
      <alignment horizontal="left" wrapText="1"/>
    </xf>
    <xf numFmtId="0" fontId="13" fillId="12" borderId="14" xfId="0" applyFont="1" applyFill="1" applyBorder="1" applyAlignment="1">
      <alignment horizontal="left"/>
    </xf>
    <xf numFmtId="0" fontId="13" fillId="2" borderId="2" xfId="0" applyFont="1" applyFill="1" applyBorder="1" applyAlignment="1">
      <alignment horizontal="left"/>
    </xf>
    <xf numFmtId="0" fontId="13" fillId="0" borderId="2" xfId="0" applyFont="1" applyBorder="1" applyAlignment="1">
      <alignment horizontal="left"/>
    </xf>
    <xf numFmtId="0" fontId="13" fillId="12" borderId="0" xfId="0" applyFont="1" applyFill="1" applyBorder="1" applyAlignment="1">
      <alignment vertical="center"/>
      <extLst>
        <ext xmlns:xfpb="http://schemas.microsoft.com/office/spreadsheetml/2022/featurepropertybag" uri="{C7286773-470A-42A8-94C5-96B5CB345126}">
          <xfpb:xfComplement i="0"/>
        </ext>
      </extLst>
    </xf>
    <xf numFmtId="0" fontId="29" fillId="12" borderId="0" xfId="0" applyFont="1" applyFill="1" applyBorder="1" applyAlignment="1">
      <alignment horizontal="center"/>
    </xf>
    <xf numFmtId="0" fontId="13" fillId="12" borderId="0" xfId="0" applyFont="1" applyFill="1" applyBorder="1" applyAlignment="1">
      <alignment horizontal="left"/>
    </xf>
    <xf numFmtId="0" fontId="9" fillId="11" borderId="17" xfId="0" applyFont="1" applyFill="1" applyBorder="1" applyAlignment="1">
      <alignment horizontal="left" vertical="center"/>
    </xf>
    <xf numFmtId="0" fontId="51" fillId="4" borderId="2" xfId="0" applyFont="1" applyFill="1" applyBorder="1" applyAlignment="1">
      <alignment horizontal="center" vertical="center"/>
    </xf>
    <xf numFmtId="0" fontId="51" fillId="5" borderId="2" xfId="0" applyFont="1" applyFill="1" applyBorder="1" applyAlignment="1">
      <alignment horizontal="center" vertical="center"/>
    </xf>
    <xf numFmtId="0" fontId="51" fillId="6" borderId="2" xfId="0" applyFont="1" applyFill="1" applyBorder="1" applyAlignment="1">
      <alignment horizontal="center" vertical="center"/>
    </xf>
    <xf numFmtId="0" fontId="51" fillId="7" borderId="2" xfId="0" applyFont="1" applyFill="1" applyBorder="1" applyAlignment="1">
      <alignment horizontal="center" vertical="center"/>
    </xf>
    <xf numFmtId="0" fontId="51" fillId="8" borderId="2" xfId="0" applyFont="1" applyFill="1" applyBorder="1" applyAlignment="1">
      <alignment horizontal="center" vertical="center"/>
    </xf>
    <xf numFmtId="0" fontId="51" fillId="9" borderId="2" xfId="0" applyFont="1" applyFill="1" applyBorder="1" applyAlignment="1">
      <alignment horizontal="center" vertical="center"/>
    </xf>
    <xf numFmtId="0" fontId="13"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52" fillId="0" borderId="3" xfId="0" applyFont="1" applyBorder="1" applyAlignment="1">
      <alignment vertical="center"/>
      <extLst>
        <ext xmlns:xfpb="http://schemas.microsoft.com/office/spreadsheetml/2022/featurepropertybag" uri="{C7286773-470A-42A8-94C5-96B5CB345126}">
          <xfpb:xfComplement i="0"/>
        </ext>
      </extLst>
    </xf>
    <xf numFmtId="0" fontId="52" fillId="0" borderId="1" xfId="0" applyFont="1" applyBorder="1" applyAlignment="1">
      <alignment vertical="center"/>
    </xf>
    <xf numFmtId="0" fontId="53" fillId="0" borderId="1" xfId="0" applyFont="1" applyBorder="1" applyAlignment="1">
      <alignment vertical="center"/>
    </xf>
    <xf numFmtId="0" fontId="52" fillId="0" borderId="2" xfId="0" applyFont="1" applyBorder="1" applyAlignment="1">
      <alignment vertical="center"/>
    </xf>
    <xf numFmtId="0" fontId="13" fillId="0" borderId="4" xfId="0" applyFont="1" applyBorder="1"/>
    <xf numFmtId="0" fontId="54" fillId="0" borderId="1" xfId="0" applyFont="1" applyBorder="1"/>
    <xf numFmtId="0" fontId="13" fillId="0" borderId="2" xfId="0" applyFont="1" applyBorder="1"/>
    <xf numFmtId="0" fontId="50" fillId="11" borderId="17" xfId="0" applyFont="1" applyFill="1" applyBorder="1" applyAlignment="1">
      <alignment horizontal="center" vertical="center"/>
    </xf>
    <xf numFmtId="0" fontId="23" fillId="0" borderId="3" xfId="0" applyFont="1" applyBorder="1"/>
    <xf numFmtId="9" fontId="52" fillId="0" borderId="1" xfId="0" applyNumberFormat="1" applyFont="1" applyBorder="1" applyAlignment="1">
      <alignment vertical="center"/>
    </xf>
    <xf numFmtId="0" fontId="52" fillId="0" borderId="9" xfId="0" applyFont="1" applyBorder="1" applyAlignment="1">
      <alignment vertical="center"/>
    </xf>
    <xf numFmtId="0" fontId="55" fillId="0" borderId="1" xfId="0" applyFont="1" applyBorder="1"/>
    <xf numFmtId="0" fontId="56" fillId="0" borderId="0" xfId="0" applyFont="1" applyAlignment="1">
      <alignment horizontal="left" vertical="center" readingOrder="1"/>
    </xf>
    <xf numFmtId="0" fontId="39" fillId="2" borderId="4" xfId="0" applyFont="1" applyFill="1" applyBorder="1"/>
    <xf numFmtId="0" fontId="39" fillId="2" borderId="9" xfId="0" applyFont="1" applyFill="1" applyBorder="1"/>
    <xf numFmtId="0" fontId="17" fillId="2" borderId="33" xfId="0" applyFont="1" applyFill="1" applyBorder="1" applyAlignment="1">
      <alignment horizontal="left"/>
    </xf>
    <xf numFmtId="0" fontId="17" fillId="2" borderId="33" xfId="0" applyFont="1" applyFill="1" applyBorder="1" applyAlignment="1">
      <alignment horizontal="center" wrapText="1"/>
    </xf>
    <xf numFmtId="0" fontId="17" fillId="2" borderId="33" xfId="0" applyFont="1" applyFill="1" applyBorder="1" applyAlignment="1">
      <alignment horizontal="center"/>
    </xf>
    <xf numFmtId="0" fontId="32" fillId="0" borderId="46" xfId="0" applyFont="1" applyBorder="1" applyAlignment="1">
      <alignment horizontal="left"/>
    </xf>
    <xf numFmtId="0" fontId="32" fillId="0" borderId="47" xfId="0" applyFont="1" applyBorder="1" applyAlignment="1">
      <alignment horizontal="center"/>
    </xf>
    <xf numFmtId="0" fontId="50" fillId="11" borderId="17" xfId="0" applyFont="1" applyFill="1" applyBorder="1" applyAlignment="1">
      <alignment horizontal="center" vertical="center" wrapText="1"/>
    </xf>
    <xf numFmtId="0" fontId="13" fillId="0" borderId="2" xfId="0" applyFont="1" applyBorder="1" applyAlignment="1">
      <alignment horizontal="left"/>
    </xf>
    <xf numFmtId="0" fontId="28" fillId="0" borderId="9" xfId="0" applyFont="1" applyBorder="1" applyAlignment="1">
      <alignment horizontal="center" vertical="center" wrapText="1"/>
    </xf>
    <xf numFmtId="0" fontId="28" fillId="0" borderId="9" xfId="0" applyFont="1" applyBorder="1" applyAlignment="1">
      <alignment horizontal="center"/>
    </xf>
    <xf numFmtId="0" fontId="13" fillId="2" borderId="11" xfId="0" applyFont="1" applyFill="1" applyBorder="1" applyAlignment="1">
      <alignment horizontal="left" indent="1"/>
    </xf>
    <xf numFmtId="0" fontId="58" fillId="2" borderId="13" xfId="0" applyFont="1" applyFill="1" applyBorder="1" applyAlignment="1">
      <alignment horizontal="left" indent="1"/>
    </xf>
    <xf numFmtId="0" fontId="59" fillId="0" borderId="21" xfId="0" applyFont="1" applyBorder="1" applyAlignment="1">
      <alignment wrapText="1"/>
    </xf>
    <xf numFmtId="0" fontId="58" fillId="2" borderId="4" xfId="0" applyFont="1" applyFill="1" applyBorder="1" applyAlignment="1">
      <alignment horizontal="left" indent="1"/>
    </xf>
    <xf numFmtId="0" fontId="58" fillId="2" borderId="5" xfId="0" applyFont="1" applyFill="1" applyBorder="1" applyAlignment="1">
      <alignment horizontal="left" indent="1"/>
    </xf>
    <xf numFmtId="0" fontId="59" fillId="0" borderId="22" xfId="0" applyFont="1" applyBorder="1" applyAlignment="1">
      <alignment wrapText="1"/>
    </xf>
    <xf numFmtId="0" fontId="42" fillId="14" borderId="0" xfId="0" applyFont="1" applyFill="1" applyAlignment="1">
      <alignment vertical="center"/>
    </xf>
    <xf numFmtId="0" fontId="43" fillId="14" borderId="0" xfId="0" applyFont="1" applyFill="1" applyAlignment="1">
      <alignment vertical="center" wrapText="1"/>
    </xf>
    <xf numFmtId="0" fontId="43" fillId="14" borderId="26" xfId="0" applyFont="1" applyFill="1" applyBorder="1" applyAlignment="1">
      <alignment vertical="center" wrapText="1"/>
    </xf>
    <xf numFmtId="0" fontId="44" fillId="13" borderId="31" xfId="1" applyFont="1" applyFill="1" applyBorder="1" applyAlignment="1">
      <alignment horizontal="left" vertical="center" wrapText="1" indent="1"/>
    </xf>
    <xf numFmtId="0" fontId="44" fillId="13" borderId="27" xfId="1" applyFont="1" applyFill="1" applyBorder="1" applyAlignment="1">
      <alignment horizontal="left" vertical="center" wrapText="1" indent="1"/>
    </xf>
    <xf numFmtId="0" fontId="44" fillId="13" borderId="28" xfId="1" applyFont="1" applyFill="1" applyBorder="1" applyAlignment="1">
      <alignment horizontal="left" vertical="center" wrapText="1" indent="1"/>
    </xf>
    <xf numFmtId="0" fontId="42" fillId="14" borderId="27" xfId="0" applyFont="1" applyFill="1" applyBorder="1" applyAlignment="1">
      <alignment vertical="center"/>
    </xf>
    <xf numFmtId="0" fontId="43" fillId="14" borderId="27" xfId="0" applyFont="1" applyFill="1" applyBorder="1" applyAlignment="1">
      <alignment vertical="center" wrapText="1"/>
    </xf>
    <xf numFmtId="0" fontId="43" fillId="14" borderId="28" xfId="0" applyFont="1" applyFill="1" applyBorder="1" applyAlignment="1">
      <alignment vertical="center" wrapText="1"/>
    </xf>
    <xf numFmtId="0" fontId="43" fillId="14" borderId="0" xfId="0" applyFont="1" applyFill="1" applyAlignment="1">
      <alignment horizontal="left" vertical="center" wrapText="1"/>
    </xf>
    <xf numFmtId="0" fontId="43" fillId="14" borderId="26" xfId="0" applyFont="1" applyFill="1" applyBorder="1" applyAlignment="1">
      <alignment horizontal="left" vertical="center" wrapText="1"/>
    </xf>
    <xf numFmtId="0" fontId="42" fillId="14" borderId="0" xfId="0" applyFont="1" applyFill="1" applyAlignment="1">
      <alignment horizontal="left" vertical="center" wrapText="1"/>
    </xf>
    <xf numFmtId="0" fontId="42" fillId="14" borderId="26" xfId="0" applyFont="1" applyFill="1" applyBorder="1" applyAlignment="1">
      <alignment horizontal="left" vertical="center" wrapText="1"/>
    </xf>
    <xf numFmtId="0" fontId="57" fillId="14" borderId="0" xfId="0" applyFont="1" applyFill="1" applyAlignment="1">
      <alignment horizontal="left" vertical="center" wrapText="1"/>
    </xf>
    <xf numFmtId="0" fontId="57" fillId="14" borderId="26" xfId="0" applyFont="1" applyFill="1" applyBorder="1" applyAlignment="1">
      <alignment horizontal="left" vertical="center" wrapText="1"/>
    </xf>
    <xf numFmtId="0" fontId="28" fillId="0" borderId="9"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3" xfId="0" applyFont="1" applyBorder="1" applyAlignment="1">
      <alignment horizontal="center" vertical="center" wrapText="1"/>
    </xf>
    <xf numFmtId="0" fontId="28" fillId="0" borderId="12" xfId="0" applyFont="1" applyBorder="1" applyAlignment="1">
      <alignment horizontal="center" vertical="center" wrapText="1"/>
    </xf>
    <xf numFmtId="0" fontId="13" fillId="2" borderId="1" xfId="0" applyFont="1" applyFill="1" applyBorder="1" applyAlignment="1">
      <alignment horizontal="left"/>
    </xf>
    <xf numFmtId="0" fontId="13" fillId="12" borderId="14" xfId="0" applyFont="1" applyFill="1" applyBorder="1" applyAlignment="1">
      <alignment horizontal="left"/>
    </xf>
    <xf numFmtId="0" fontId="9" fillId="11" borderId="17" xfId="0" applyFont="1" applyFill="1" applyBorder="1" applyAlignment="1">
      <alignment horizontal="left" vertical="center"/>
    </xf>
    <xf numFmtId="0" fontId="13" fillId="0" borderId="1" xfId="0" applyFont="1" applyBorder="1" applyAlignment="1">
      <alignment horizontal="left"/>
    </xf>
    <xf numFmtId="0" fontId="13" fillId="0" borderId="1" xfId="0" quotePrefix="1" applyFont="1" applyBorder="1" applyAlignment="1">
      <alignment horizontal="left"/>
    </xf>
    <xf numFmtId="0" fontId="9" fillId="9" borderId="5" xfId="0" applyFont="1" applyFill="1" applyBorder="1" applyAlignment="1">
      <alignment vertical="center"/>
    </xf>
    <xf numFmtId="0" fontId="9" fillId="9" borderId="2" xfId="0" applyFont="1" applyFill="1" applyBorder="1" applyAlignment="1">
      <alignment vertical="center"/>
    </xf>
    <xf numFmtId="0" fontId="9" fillId="3" borderId="5" xfId="0" applyFont="1" applyFill="1" applyBorder="1" applyAlignment="1">
      <alignment vertical="center"/>
    </xf>
    <xf numFmtId="0" fontId="9" fillId="3" borderId="2" xfId="0" applyFont="1" applyFill="1" applyBorder="1" applyAlignment="1">
      <alignment vertical="center"/>
    </xf>
    <xf numFmtId="0" fontId="13" fillId="0" borderId="4" xfId="0" applyFont="1" applyBorder="1" applyAlignment="1">
      <alignment horizontal="left"/>
    </xf>
    <xf numFmtId="0" fontId="13" fillId="0" borderId="5" xfId="0" applyFont="1" applyBorder="1" applyAlignment="1">
      <alignment horizontal="left"/>
    </xf>
    <xf numFmtId="0" fontId="13" fillId="0" borderId="2" xfId="0" applyFont="1" applyBorder="1" applyAlignment="1">
      <alignment horizontal="left"/>
    </xf>
    <xf numFmtId="0" fontId="13" fillId="2" borderId="4" xfId="0" quotePrefix="1" applyFont="1" applyFill="1" applyBorder="1" applyAlignment="1">
      <alignment horizontal="left"/>
    </xf>
    <xf numFmtId="0" fontId="13" fillId="2" borderId="5" xfId="0" quotePrefix="1" applyFont="1" applyFill="1" applyBorder="1" applyAlignment="1">
      <alignment horizontal="left"/>
    </xf>
    <xf numFmtId="0" fontId="13" fillId="2" borderId="2" xfId="0" quotePrefix="1" applyFont="1" applyFill="1" applyBorder="1" applyAlignment="1">
      <alignment horizontal="left"/>
    </xf>
    <xf numFmtId="0" fontId="13" fillId="2" borderId="4" xfId="0" applyFont="1" applyFill="1" applyBorder="1" applyAlignment="1">
      <alignment horizontal="left"/>
    </xf>
    <xf numFmtId="0" fontId="13" fillId="2" borderId="5" xfId="0" applyFont="1" applyFill="1" applyBorder="1" applyAlignment="1">
      <alignment horizontal="left"/>
    </xf>
    <xf numFmtId="0" fontId="13" fillId="2" borderId="2" xfId="0" applyFont="1" applyFill="1" applyBorder="1" applyAlignment="1">
      <alignment horizontal="left"/>
    </xf>
    <xf numFmtId="0" fontId="13" fillId="2" borderId="4" xfId="0" applyFont="1" applyFill="1" applyBorder="1" applyAlignment="1"/>
    <xf numFmtId="0" fontId="13" fillId="2" borderId="5" xfId="0" applyFont="1" applyFill="1" applyBorder="1" applyAlignment="1"/>
    <xf numFmtId="0" fontId="13" fillId="2" borderId="2" xfId="0" applyFont="1" applyFill="1" applyBorder="1" applyAlignment="1"/>
    <xf numFmtId="0" fontId="13" fillId="12" borderId="15" xfId="0" applyFont="1" applyFill="1" applyBorder="1" applyAlignment="1">
      <alignment horizontal="center" vertical="center"/>
    </xf>
    <xf numFmtId="0" fontId="13" fillId="12" borderId="16" xfId="0" applyFont="1" applyFill="1" applyBorder="1" applyAlignment="1">
      <alignment horizontal="center" vertical="center"/>
    </xf>
    <xf numFmtId="0" fontId="13" fillId="2" borderId="1" xfId="0" applyFont="1" applyFill="1" applyBorder="1" applyAlignment="1"/>
    <xf numFmtId="0" fontId="20" fillId="12" borderId="33" xfId="0" applyFont="1" applyFill="1" applyBorder="1" applyAlignment="1">
      <alignment horizontal="center" vertical="center"/>
    </xf>
    <xf numFmtId="0" fontId="20" fillId="0" borderId="33" xfId="0" applyFont="1" applyBorder="1" applyAlignment="1">
      <alignment horizontal="center" vertical="center"/>
    </xf>
    <xf numFmtId="0" fontId="13" fillId="2" borderId="11" xfId="0" applyFont="1" applyFill="1" applyBorder="1" applyAlignment="1"/>
    <xf numFmtId="0" fontId="13" fillId="2" borderId="13" xfId="0" applyFont="1" applyFill="1" applyBorder="1" applyAlignment="1"/>
    <xf numFmtId="0" fontId="13" fillId="2" borderId="12" xfId="0" applyFont="1" applyFill="1" applyBorder="1" applyAlignment="1"/>
    <xf numFmtId="0" fontId="9" fillId="8" borderId="8" xfId="0" applyFont="1" applyFill="1" applyBorder="1" applyAlignment="1">
      <alignment vertical="center"/>
    </xf>
    <xf numFmtId="0" fontId="9" fillId="8" borderId="6" xfId="0" applyFont="1" applyFill="1" applyBorder="1" applyAlignment="1">
      <alignment vertical="center"/>
    </xf>
    <xf numFmtId="0" fontId="9" fillId="5" borderId="8" xfId="0" applyFont="1" applyFill="1" applyBorder="1" applyAlignment="1">
      <alignment vertical="center"/>
    </xf>
    <xf numFmtId="0" fontId="9" fillId="5" borderId="6" xfId="0" applyFont="1" applyFill="1" applyBorder="1" applyAlignment="1">
      <alignment vertical="center"/>
    </xf>
    <xf numFmtId="0" fontId="9" fillId="6" borderId="5" xfId="0" applyFont="1" applyFill="1" applyBorder="1" applyAlignment="1">
      <alignment vertical="center"/>
    </xf>
    <xf numFmtId="0" fontId="9" fillId="6" borderId="2" xfId="0" applyFont="1" applyFill="1" applyBorder="1" applyAlignment="1">
      <alignment vertical="center"/>
    </xf>
    <xf numFmtId="0" fontId="9" fillId="4" borderId="5" xfId="0" applyFont="1" applyFill="1" applyBorder="1" applyAlignment="1">
      <alignment vertical="center"/>
    </xf>
    <xf numFmtId="0" fontId="9" fillId="4" borderId="2" xfId="0" applyFont="1" applyFill="1" applyBorder="1" applyAlignment="1">
      <alignment vertical="center"/>
    </xf>
    <xf numFmtId="0" fontId="9" fillId="7" borderId="5" xfId="0" applyFont="1" applyFill="1" applyBorder="1" applyAlignment="1">
      <alignment vertical="center"/>
    </xf>
    <xf numFmtId="0" fontId="9" fillId="7" borderId="2" xfId="0" applyFont="1" applyFill="1" applyBorder="1" applyAlignment="1">
      <alignment vertical="center"/>
    </xf>
    <xf numFmtId="0" fontId="16" fillId="10" borderId="5" xfId="0" applyFont="1" applyFill="1" applyBorder="1" applyAlignment="1">
      <alignment vertical="center"/>
    </xf>
    <xf numFmtId="0" fontId="16" fillId="10" borderId="2" xfId="0" applyFont="1" applyFill="1" applyBorder="1" applyAlignment="1">
      <alignment vertical="center"/>
    </xf>
    <xf numFmtId="0" fontId="13" fillId="0" borderId="33" xfId="0" applyFont="1" applyBorder="1" applyAlignment="1">
      <alignment horizontal="center" wrapText="1"/>
    </xf>
    <xf numFmtId="0" fontId="13" fillId="2" borderId="11" xfId="0" applyFont="1" applyFill="1" applyBorder="1" applyAlignment="1">
      <alignment horizontal="left"/>
    </xf>
    <xf numFmtId="0" fontId="13" fillId="2" borderId="13" xfId="0" applyFont="1" applyFill="1" applyBorder="1" applyAlignment="1">
      <alignment horizontal="left"/>
    </xf>
    <xf numFmtId="0" fontId="13" fillId="2" borderId="12" xfId="0" applyFont="1" applyFill="1" applyBorder="1" applyAlignment="1">
      <alignment horizontal="left"/>
    </xf>
    <xf numFmtId="0" fontId="24" fillId="11" borderId="7" xfId="0" applyFont="1" applyFill="1" applyBorder="1" applyAlignment="1">
      <alignment horizontal="center" vertical="center"/>
    </xf>
    <xf numFmtId="0" fontId="24" fillId="11" borderId="8" xfId="0" applyFont="1" applyFill="1" applyBorder="1" applyAlignment="1">
      <alignment horizontal="center" vertical="center"/>
    </xf>
    <xf numFmtId="0" fontId="24" fillId="11" borderId="6" xfId="0" applyFont="1" applyFill="1" applyBorder="1" applyAlignment="1">
      <alignment horizontal="center" vertical="center"/>
    </xf>
    <xf numFmtId="0" fontId="31" fillId="2" borderId="17"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36" fillId="2" borderId="1" xfId="0" applyFont="1" applyFill="1" applyBorder="1" applyAlignment="1">
      <alignment vertical="center"/>
    </xf>
    <xf numFmtId="0" fontId="24" fillId="11" borderId="45" xfId="0" applyFont="1" applyFill="1" applyBorder="1" applyAlignment="1">
      <alignment horizontal="center" vertical="center"/>
    </xf>
    <xf numFmtId="0" fontId="24" fillId="11" borderId="43" xfId="0" applyFont="1" applyFill="1" applyBorder="1" applyAlignment="1">
      <alignment horizontal="center" vertical="center"/>
    </xf>
    <xf numFmtId="0" fontId="24" fillId="11" borderId="44" xfId="0" applyFont="1" applyFill="1" applyBorder="1" applyAlignment="1">
      <alignment horizontal="center" vertical="center"/>
    </xf>
  </cellXfs>
  <cellStyles count="2">
    <cellStyle name="Normal" xfId="0" builtinId="0"/>
    <cellStyle name="Normal 2" xfId="1" xr:uid="{0FDD12F9-7D82-4479-986C-BF932EF1EE17}"/>
  </cellStyles>
  <dxfs count="132">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
      <font>
        <color rgb="FFFF3F3F"/>
      </font>
      <fill>
        <patternFill>
          <bgColor rgb="FFFF9F9F"/>
        </patternFill>
      </fill>
    </dxf>
  </dxfs>
  <tableStyles count="0" defaultTableStyle="TableStyleMedium9" defaultPivotStyle="PivotStyleLight16"/>
  <colors>
    <mruColors>
      <color rgb="FF343434"/>
      <color rgb="FFD1E0A8"/>
      <color rgb="FF5F7228"/>
      <color rgb="FF46541F"/>
      <color rgb="FFC3C6BD"/>
      <color rgb="FFFF3F3F"/>
      <color rgb="FFFF5353"/>
      <color rgb="FFFF9F9F"/>
      <color rgb="FF000000"/>
      <color rgb="FF8D91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cap="all" baseline="0">
                <a:solidFill>
                  <a:srgbClr val="343434"/>
                </a:solidFill>
                <a:latin typeface="Bahnschrift Bold" panose="020B0502040204020203" pitchFamily="34" charset="0"/>
                <a:ea typeface="+mn-ea"/>
                <a:cs typeface="+mn-cs"/>
              </a:defRPr>
            </a:pPr>
            <a:r>
              <a:rPr lang="en-US" sz="1400" b="0" i="0" u="none" strike="noStrike" kern="1200" cap="none" spc="0" normalizeH="0" baseline="0">
                <a:solidFill>
                  <a:srgbClr val="343434"/>
                </a:solidFill>
                <a:latin typeface="Bahnschrift Bold" panose="020B0502040204020203" pitchFamily="34" charset="0"/>
              </a:rPr>
              <a:t>Total Anticipated Points Distribution</a:t>
            </a:r>
          </a:p>
        </c:rich>
      </c:tx>
      <c:overlay val="0"/>
      <c:spPr>
        <a:noFill/>
        <a:ln>
          <a:noFill/>
        </a:ln>
        <a:effectLst/>
      </c:spPr>
      <c:txPr>
        <a:bodyPr rot="0" spcFirstLastPara="1" vertOverflow="ellipsis" vert="horz" wrap="square" anchor="ctr" anchorCtr="1"/>
        <a:lstStyle/>
        <a:p>
          <a:pPr>
            <a:defRPr sz="1400" b="1" i="0" u="none" strike="noStrike" kern="1200" cap="all" baseline="0">
              <a:solidFill>
                <a:srgbClr val="343434"/>
              </a:solidFill>
              <a:latin typeface="Bahnschrift Bold" panose="020B0502040204020203" pitchFamily="34" charset="0"/>
              <a:ea typeface="+mn-ea"/>
              <a:cs typeface="+mn-cs"/>
            </a:defRPr>
          </a:pPr>
          <a:endParaRPr lang="en-US"/>
        </a:p>
      </c:txPr>
    </c:title>
    <c:autoTitleDeleted val="0"/>
    <c:plotArea>
      <c:layout/>
      <c:pieChart>
        <c:varyColors val="1"/>
        <c:ser>
          <c:idx val="0"/>
          <c:order val="0"/>
          <c:dPt>
            <c:idx val="0"/>
            <c:bubble3D val="0"/>
            <c:spPr>
              <a:solidFill>
                <a:srgbClr val="46541F"/>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655-4833-88D6-7557870AA7AB}"/>
              </c:ext>
            </c:extLst>
          </c:dPt>
          <c:dPt>
            <c:idx val="1"/>
            <c:bubble3D val="0"/>
            <c:spPr>
              <a:solidFill>
                <a:srgbClr val="5F722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655-4833-88D6-7557870AA7AB}"/>
              </c:ext>
            </c:extLst>
          </c:dPt>
          <c:dPt>
            <c:idx val="2"/>
            <c:bubble3D val="0"/>
            <c:spPr>
              <a:solidFill>
                <a:srgbClr val="D1E0A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655-4833-88D6-7557870AA7AB}"/>
              </c:ext>
            </c:extLst>
          </c:dPt>
          <c:dPt>
            <c:idx val="3"/>
            <c:bubble3D val="0"/>
            <c:spPr>
              <a:solidFill>
                <a:schemeClr val="accent3">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655-4833-88D6-7557870AA7AB}"/>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1-1655-4833-88D6-7557870AA7AB}"/>
                </c:ext>
              </c:extLst>
            </c:dLbl>
            <c:dLbl>
              <c:idx val="1"/>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3-1655-4833-88D6-7557870AA7AB}"/>
                </c:ext>
              </c:extLst>
            </c:dLbl>
            <c:dLbl>
              <c:idx val="2"/>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5-1655-4833-88D6-7557870AA7AB}"/>
                </c:ext>
              </c:extLst>
            </c:dLbl>
            <c:dLbl>
              <c:idx val="3"/>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9-1655-4833-88D6-7557870AA7AB}"/>
                </c:ext>
              </c:extLst>
            </c:dLbl>
            <c:spPr>
              <a:noFill/>
              <a:ln>
                <a:noFill/>
              </a:ln>
              <a:effectLst/>
            </c:spPr>
            <c:txPr>
              <a:bodyPr rot="0" spcFirstLastPara="1" vertOverflow="ellipsis" vert="horz" wrap="square" anchor="ctr" anchorCtr="1"/>
              <a:lstStyle/>
              <a:p>
                <a:pPr>
                  <a:defRPr sz="1200" b="1" i="0" u="none" strike="noStrike" kern="1200" spc="0" baseline="0">
                    <a:solidFill>
                      <a:srgbClr val="343434"/>
                    </a:solidFill>
                    <a:latin typeface="Bahnschrift Light SemiCondensed" panose="020B0502040204020203"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Background!$J$2:$J$5</c:f>
              <c:strCache>
                <c:ptCount val="4"/>
                <c:pt idx="0">
                  <c:v>Yes</c:v>
                </c:pt>
                <c:pt idx="1">
                  <c:v>Maybe</c:v>
                </c:pt>
                <c:pt idx="2">
                  <c:v>No</c:v>
                </c:pt>
                <c:pt idx="3">
                  <c:v>Blank</c:v>
                </c:pt>
              </c:strCache>
            </c:strRef>
          </c:cat>
          <c:val>
            <c:numRef>
              <c:f>Background!$K$2:$K$5</c:f>
              <c:numCache>
                <c:formatCode>General</c:formatCode>
                <c:ptCount val="4"/>
                <c:pt idx="0">
                  <c:v>0</c:v>
                </c:pt>
                <c:pt idx="1">
                  <c:v>0</c:v>
                </c:pt>
                <c:pt idx="2">
                  <c:v>0</c:v>
                </c:pt>
                <c:pt idx="3">
                  <c:v>110</c:v>
                </c:pt>
              </c:numCache>
            </c:numRef>
          </c:val>
          <c:extLst>
            <c:ext xmlns:c16="http://schemas.microsoft.com/office/drawing/2014/chart" uri="{C3380CC4-5D6E-409C-BE32-E72D297353CC}">
              <c16:uniqueId val="{00000006-1655-4833-88D6-7557870AA7A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r>
              <a:rPr lang="en-US" sz="1400">
                <a:latin typeface="Bahnschrift Bold" panose="020B0502040204020203" pitchFamily="34" charset="0"/>
              </a:rPr>
              <a:t>Total Anticipated Points Distribution</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endParaRPr lang="en-US"/>
        </a:p>
      </c:txPr>
    </c:title>
    <c:autoTitleDeleted val="0"/>
    <c:plotArea>
      <c:layout/>
      <c:barChart>
        <c:barDir val="bar"/>
        <c:grouping val="clustered"/>
        <c:varyColors val="0"/>
        <c:ser>
          <c:idx val="0"/>
          <c:order val="0"/>
          <c:spPr>
            <a:solidFill>
              <a:schemeClr val="accent3"/>
            </a:solidFill>
            <a:ln>
              <a:noFill/>
            </a:ln>
            <a:effectLst/>
          </c:spPr>
          <c:invertIfNegative val="0"/>
          <c:dPt>
            <c:idx val="0"/>
            <c:invertIfNegative val="0"/>
            <c:bubble3D val="0"/>
            <c:spPr>
              <a:solidFill>
                <a:srgbClr val="46541F"/>
              </a:solidFill>
              <a:ln>
                <a:noFill/>
              </a:ln>
              <a:effectLst/>
            </c:spPr>
            <c:extLst>
              <c:ext xmlns:c16="http://schemas.microsoft.com/office/drawing/2014/chart" uri="{C3380CC4-5D6E-409C-BE32-E72D297353CC}">
                <c16:uniqueId val="{00000001-12B0-446D-AA6B-92279251BEE9}"/>
              </c:ext>
            </c:extLst>
          </c:dPt>
          <c:dPt>
            <c:idx val="1"/>
            <c:invertIfNegative val="0"/>
            <c:bubble3D val="0"/>
            <c:spPr>
              <a:solidFill>
                <a:srgbClr val="5F7228"/>
              </a:solidFill>
              <a:ln>
                <a:noFill/>
              </a:ln>
              <a:effectLst/>
            </c:spPr>
            <c:extLst>
              <c:ext xmlns:c16="http://schemas.microsoft.com/office/drawing/2014/chart" uri="{C3380CC4-5D6E-409C-BE32-E72D297353CC}">
                <c16:uniqueId val="{00000003-12B0-446D-AA6B-92279251BEE9}"/>
              </c:ext>
            </c:extLst>
          </c:dPt>
          <c:dPt>
            <c:idx val="2"/>
            <c:invertIfNegative val="0"/>
            <c:bubble3D val="0"/>
            <c:spPr>
              <a:solidFill>
                <a:srgbClr val="D1E0A8"/>
              </a:solidFill>
              <a:ln>
                <a:noFill/>
              </a:ln>
              <a:effectLst/>
            </c:spPr>
            <c:extLst>
              <c:ext xmlns:c16="http://schemas.microsoft.com/office/drawing/2014/chart" uri="{C3380CC4-5D6E-409C-BE32-E72D297353CC}">
                <c16:uniqueId val="{00000005-12B0-446D-AA6B-92279251BEE9}"/>
              </c:ext>
            </c:extLst>
          </c:dPt>
          <c:dPt>
            <c:idx val="3"/>
            <c:invertIfNegative val="0"/>
            <c:bubble3D val="0"/>
            <c:spPr>
              <a:solidFill>
                <a:srgbClr val="C3C6BD"/>
              </a:solidFill>
              <a:ln>
                <a:noFill/>
              </a:ln>
              <a:effectLst/>
            </c:spPr>
            <c:extLst>
              <c:ext xmlns:c16="http://schemas.microsoft.com/office/drawing/2014/chart" uri="{C3380CC4-5D6E-409C-BE32-E72D297353CC}">
                <c16:uniqueId val="{00000007-12B0-446D-AA6B-92279251BEE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43434"/>
                    </a:solidFill>
                    <a:latin typeface="Bahnschrift Light SemiCondensed"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Background!$J$2:$J$5</c:f>
              <c:strCache>
                <c:ptCount val="4"/>
                <c:pt idx="0">
                  <c:v>Yes</c:v>
                </c:pt>
                <c:pt idx="1">
                  <c:v>Maybe</c:v>
                </c:pt>
                <c:pt idx="2">
                  <c:v>No</c:v>
                </c:pt>
                <c:pt idx="3">
                  <c:v>Blank</c:v>
                </c:pt>
              </c:strCache>
            </c:strRef>
          </c:cat>
          <c:val>
            <c:numRef>
              <c:f>Background!$K$2:$K$5</c:f>
              <c:numCache>
                <c:formatCode>General</c:formatCode>
                <c:ptCount val="4"/>
                <c:pt idx="0">
                  <c:v>0</c:v>
                </c:pt>
                <c:pt idx="1">
                  <c:v>0</c:v>
                </c:pt>
                <c:pt idx="2">
                  <c:v>0</c:v>
                </c:pt>
                <c:pt idx="3">
                  <c:v>110</c:v>
                </c:pt>
              </c:numCache>
            </c:numRef>
          </c:val>
          <c:extLst>
            <c:ext xmlns:c16="http://schemas.microsoft.com/office/drawing/2014/chart" uri="{C3380CC4-5D6E-409C-BE32-E72D297353CC}">
              <c16:uniqueId val="{00000006-12B0-446D-AA6B-92279251BEE9}"/>
            </c:ext>
          </c:extLst>
        </c:ser>
        <c:dLbls>
          <c:showLegendKey val="0"/>
          <c:showVal val="0"/>
          <c:showCatName val="0"/>
          <c:showSerName val="0"/>
          <c:showPercent val="0"/>
          <c:showBubbleSize val="0"/>
        </c:dLbls>
        <c:gapWidth val="269"/>
        <c:overlap val="-58"/>
        <c:axId val="958692672"/>
        <c:axId val="958692192"/>
      </c:barChart>
      <c:valAx>
        <c:axId val="95869219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58692672"/>
        <c:crosses val="autoZero"/>
        <c:crossBetween val="between"/>
      </c:valAx>
      <c:catAx>
        <c:axId val="958692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58692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r>
              <a:rPr lang="en-US" sz="1400">
                <a:latin typeface="Bahnschrift Bold" panose="020B0502040204020203" pitchFamily="34" charset="0"/>
              </a:rPr>
              <a:t>Total Anticipated Points versus LEED Certification Levels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endParaRPr lang="en-US"/>
        </a:p>
      </c:txPr>
    </c:title>
    <c:autoTitleDeleted val="0"/>
    <c:plotArea>
      <c:layout/>
      <c:barChart>
        <c:barDir val="bar"/>
        <c:grouping val="clustered"/>
        <c:varyColors val="0"/>
        <c:ser>
          <c:idx val="0"/>
          <c:order val="0"/>
          <c:spPr>
            <a:solidFill>
              <a:schemeClr val="dk1">
                <a:tint val="88500"/>
              </a:schemeClr>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3-289D-4FE5-8E2E-19C06C5C8B59}"/>
              </c:ext>
            </c:extLst>
          </c:dPt>
          <c:cat>
            <c:strRef>
              <c:f>Background!$I$16:$I$19</c:f>
              <c:strCache>
                <c:ptCount val="4"/>
                <c:pt idx="0">
                  <c:v>Total Anticipated Points</c:v>
                </c:pt>
                <c:pt idx="1">
                  <c:v>Certified Project</c:v>
                </c:pt>
                <c:pt idx="2">
                  <c:v>Platinum Project</c:v>
                </c:pt>
                <c:pt idx="3">
                  <c:v>Total Possible Points</c:v>
                </c:pt>
              </c:strCache>
            </c:strRef>
          </c:cat>
          <c:val>
            <c:numRef>
              <c:f>Background!$J$16:$J$19</c:f>
              <c:numCache>
                <c:formatCode>General</c:formatCode>
                <c:ptCount val="4"/>
                <c:pt idx="0">
                  <c:v>0</c:v>
                </c:pt>
                <c:pt idx="1">
                  <c:v>40</c:v>
                </c:pt>
                <c:pt idx="2">
                  <c:v>80</c:v>
                </c:pt>
                <c:pt idx="3">
                  <c:v>110</c:v>
                </c:pt>
              </c:numCache>
            </c:numRef>
          </c:val>
          <c:extLst>
            <c:ext xmlns:c16="http://schemas.microsoft.com/office/drawing/2014/chart" uri="{C3380CC4-5D6E-409C-BE32-E72D297353CC}">
              <c16:uniqueId val="{00000000-289D-4FE5-8E2E-19C06C5C8B59}"/>
            </c:ext>
          </c:extLst>
        </c:ser>
        <c:ser>
          <c:idx val="1"/>
          <c:order val="1"/>
          <c:spPr>
            <a:solidFill>
              <a:schemeClr val="dk1">
                <a:tint val="55000"/>
              </a:schemeClr>
            </a:solidFill>
            <a:ln>
              <a:noFill/>
            </a:ln>
            <a:effectLst/>
          </c:spPr>
          <c:invertIfNegative val="0"/>
          <c:cat>
            <c:strRef>
              <c:f>Background!$I$16:$I$19</c:f>
              <c:strCache>
                <c:ptCount val="4"/>
                <c:pt idx="0">
                  <c:v>Total Anticipated Points</c:v>
                </c:pt>
                <c:pt idx="1">
                  <c:v>Certified Project</c:v>
                </c:pt>
                <c:pt idx="2">
                  <c:v>Platinum Project</c:v>
                </c:pt>
                <c:pt idx="3">
                  <c:v>Total Possible Points</c:v>
                </c:pt>
              </c:strCache>
            </c:strRef>
          </c:cat>
          <c:val>
            <c:numRef>
              <c:f>Background!$K$16:$K$18</c:f>
              <c:numCache>
                <c:formatCode>General</c:formatCode>
                <c:ptCount val="3"/>
                <c:pt idx="0">
                  <c:v>0</c:v>
                </c:pt>
                <c:pt idx="1">
                  <c:v>0</c:v>
                </c:pt>
                <c:pt idx="2">
                  <c:v>0</c:v>
                </c:pt>
              </c:numCache>
            </c:numRef>
          </c:val>
          <c:extLst>
            <c:ext xmlns:c16="http://schemas.microsoft.com/office/drawing/2014/chart" uri="{C3380CC4-5D6E-409C-BE32-E72D297353CC}">
              <c16:uniqueId val="{00000001-289D-4FE5-8E2E-19C06C5C8B59}"/>
            </c:ext>
          </c:extLst>
        </c:ser>
        <c:dLbls>
          <c:showLegendKey val="0"/>
          <c:showVal val="0"/>
          <c:showCatName val="0"/>
          <c:showSerName val="0"/>
          <c:showPercent val="0"/>
          <c:showBubbleSize val="0"/>
        </c:dLbls>
        <c:gapWidth val="269"/>
        <c:overlap val="-58"/>
        <c:axId val="359243488"/>
        <c:axId val="359240128"/>
      </c:barChart>
      <c:catAx>
        <c:axId val="359243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359240128"/>
        <c:crosses val="autoZero"/>
        <c:auto val="1"/>
        <c:lblAlgn val="ctr"/>
        <c:lblOffset val="100"/>
        <c:noMultiLvlLbl val="0"/>
      </c:catAx>
      <c:valAx>
        <c:axId val="3592401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359243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baseline="0">
                <a:solidFill>
                  <a:srgbClr val="343434"/>
                </a:solidFill>
                <a:latin typeface="+mn-lt"/>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Decarbonization Prerequisites &amp; Credits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baseline="0">
              <a:solidFill>
                <a:srgbClr val="343434"/>
              </a:solidFill>
              <a:latin typeface="+mn-lt"/>
              <a:ea typeface="+mn-ea"/>
              <a:cs typeface="+mn-cs"/>
            </a:defRPr>
          </a:pPr>
          <a:endParaRPr lang="en-US"/>
        </a:p>
      </c:txPr>
    </c:title>
    <c:autoTitleDeleted val="0"/>
    <c:plotArea>
      <c:layout/>
      <c:pieChart>
        <c:varyColors val="1"/>
        <c:ser>
          <c:idx val="0"/>
          <c:order val="0"/>
          <c:dPt>
            <c:idx val="0"/>
            <c:bubble3D val="0"/>
            <c:spPr>
              <a:solidFill>
                <a:schemeClr val="accent4">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4F1-4F0D-99E4-4EA4E647C4B8}"/>
              </c:ext>
            </c:extLst>
          </c:dPt>
          <c:dPt>
            <c:idx val="1"/>
            <c:bubble3D val="0"/>
            <c:spPr>
              <a:solidFill>
                <a:schemeClr val="accent4">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4F1-4F0D-99E4-4EA4E647C4B8}"/>
              </c:ext>
            </c:extLst>
          </c:dPt>
          <c:dPt>
            <c:idx val="2"/>
            <c:bubble3D val="0"/>
            <c:spPr>
              <a:solidFill>
                <a:schemeClr val="accent4">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4F1-4F0D-99E4-4EA4E647C4B8}"/>
              </c:ext>
            </c:extLst>
          </c:dPt>
          <c:dPt>
            <c:idx val="3"/>
            <c:bubble3D val="0"/>
            <c:spPr>
              <a:solidFill>
                <a:schemeClr val="accent4">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4F1-4F0D-99E4-4EA4E647C4B8}"/>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34F1-4F0D-99E4-4EA4E647C4B8}"/>
                </c:ext>
              </c:extLst>
            </c:dLbl>
            <c:dLbl>
              <c:idx val="1"/>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34F1-4F0D-99E4-4EA4E647C4B8}"/>
                </c:ext>
              </c:extLst>
            </c:dLbl>
            <c:dLbl>
              <c:idx val="2"/>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34F1-4F0D-99E4-4EA4E647C4B8}"/>
                </c:ext>
              </c:extLst>
            </c:dLbl>
            <c:dLbl>
              <c:idx val="3"/>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7-34F1-4F0D-99E4-4EA4E647C4B8}"/>
                </c:ext>
              </c:extLst>
            </c:dLbl>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Background!$Q$5:$T$5</c:f>
              <c:strCache>
                <c:ptCount val="4"/>
                <c:pt idx="0">
                  <c:v>Yes</c:v>
                </c:pt>
                <c:pt idx="1">
                  <c:v>Maybe</c:v>
                </c:pt>
                <c:pt idx="2">
                  <c:v>No</c:v>
                </c:pt>
                <c:pt idx="3">
                  <c:v>Blank</c:v>
                </c:pt>
              </c:strCache>
            </c:strRef>
          </c:cat>
          <c:val>
            <c:numRef>
              <c:f>Background!$Q$6:$T$6</c:f>
              <c:numCache>
                <c:formatCode>General</c:formatCode>
                <c:ptCount val="4"/>
                <c:pt idx="0">
                  <c:v>0</c:v>
                </c:pt>
                <c:pt idx="1">
                  <c:v>0</c:v>
                </c:pt>
                <c:pt idx="2">
                  <c:v>0</c:v>
                </c:pt>
                <c:pt idx="3">
                  <c:v>27</c:v>
                </c:pt>
              </c:numCache>
            </c:numRef>
          </c:val>
          <c:extLst>
            <c:ext xmlns:c16="http://schemas.microsoft.com/office/drawing/2014/chart" uri="{C3380CC4-5D6E-409C-BE32-E72D297353CC}">
              <c16:uniqueId val="{00000008-34F1-4F0D-99E4-4EA4E647C4B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200" b="1" i="0" u="none" strike="noStrike" kern="1200" cap="all" baseline="0">
                <a:solidFill>
                  <a:srgbClr val="343434"/>
                </a:solidFill>
                <a:latin typeface="+mn-lt"/>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Quality of Life Prerequisites &amp; Credits</a:t>
            </a:r>
          </a:p>
        </c:rich>
      </c:tx>
      <c:overlay val="0"/>
      <c:spPr>
        <a:noFill/>
        <a:ln>
          <a:noFill/>
        </a:ln>
        <a:effectLst/>
      </c:spPr>
      <c:txPr>
        <a:bodyPr rot="0" spcFirstLastPara="1" vertOverflow="ellipsis" vert="horz" wrap="square" anchor="ctr" anchorCtr="1"/>
        <a:lstStyle/>
        <a:p>
          <a:pPr>
            <a:defRPr sz="1200" b="1" i="0" u="none" strike="noStrike" kern="1200" cap="all" baseline="0">
              <a:solidFill>
                <a:srgbClr val="343434"/>
              </a:solidFill>
              <a:latin typeface="+mn-lt"/>
              <a:ea typeface="+mn-ea"/>
              <a:cs typeface="+mn-cs"/>
            </a:defRPr>
          </a:pPr>
          <a:endParaRPr lang="en-US"/>
        </a:p>
      </c:txPr>
    </c:title>
    <c:autoTitleDeleted val="0"/>
    <c:plotArea>
      <c:layout/>
      <c:pieChart>
        <c:varyColors val="1"/>
        <c:ser>
          <c:idx val="0"/>
          <c:order val="0"/>
          <c:dPt>
            <c:idx val="0"/>
            <c:bubble3D val="0"/>
            <c:spPr>
              <a:solidFill>
                <a:schemeClr val="accent2">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A3D-483E-BCA8-62C611CE8348}"/>
              </c:ext>
            </c:extLst>
          </c:dPt>
          <c:dPt>
            <c:idx val="1"/>
            <c:bubble3D val="0"/>
            <c:spPr>
              <a:solidFill>
                <a:schemeClr val="accent2">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A3D-483E-BCA8-62C611CE8348}"/>
              </c:ext>
            </c:extLst>
          </c:dPt>
          <c:dPt>
            <c:idx val="2"/>
            <c:bubble3D val="0"/>
            <c:spPr>
              <a:solidFill>
                <a:schemeClr val="accent2">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DA3D-483E-BCA8-62C611CE8348}"/>
              </c:ext>
            </c:extLst>
          </c:dPt>
          <c:dPt>
            <c:idx val="3"/>
            <c:bubble3D val="0"/>
            <c:spPr>
              <a:solidFill>
                <a:schemeClr val="accent2">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A3D-483E-BCA8-62C611CE8348}"/>
              </c:ext>
            </c:extLst>
          </c:dPt>
          <c:dLbls>
            <c:dLbl>
              <c:idx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A-DA3D-483E-BCA8-62C611CE8348}"/>
                </c:ext>
              </c:extLst>
            </c:dLbl>
            <c:dLbl>
              <c:idx val="1"/>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B-DA3D-483E-BCA8-62C611CE8348}"/>
                </c:ext>
              </c:extLst>
            </c:dLbl>
            <c:dLbl>
              <c:idx val="2"/>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C-DA3D-483E-BCA8-62C611CE8348}"/>
                </c:ext>
              </c:extLst>
            </c:dLbl>
            <c:dLbl>
              <c:idx val="3"/>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D-DA3D-483E-BCA8-62C611CE8348}"/>
                </c:ext>
              </c:extLst>
            </c:dLbl>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Background!$Q$10:$T$10</c:f>
              <c:strCache>
                <c:ptCount val="4"/>
                <c:pt idx="0">
                  <c:v>Yes</c:v>
                </c:pt>
                <c:pt idx="1">
                  <c:v>Maybe</c:v>
                </c:pt>
                <c:pt idx="2">
                  <c:v>No</c:v>
                </c:pt>
                <c:pt idx="3">
                  <c:v>Blank</c:v>
                </c:pt>
              </c:strCache>
            </c:strRef>
          </c:cat>
          <c:val>
            <c:numRef>
              <c:f>Background!$Q$11:$T$11</c:f>
              <c:numCache>
                <c:formatCode>General</c:formatCode>
                <c:ptCount val="4"/>
                <c:pt idx="0">
                  <c:v>0</c:v>
                </c:pt>
                <c:pt idx="1">
                  <c:v>0</c:v>
                </c:pt>
                <c:pt idx="2">
                  <c:v>0</c:v>
                </c:pt>
                <c:pt idx="3">
                  <c:v>20</c:v>
                </c:pt>
              </c:numCache>
            </c:numRef>
          </c:val>
          <c:extLst>
            <c:ext xmlns:c16="http://schemas.microsoft.com/office/drawing/2014/chart" uri="{C3380CC4-5D6E-409C-BE32-E72D297353CC}">
              <c16:uniqueId val="{00000009-DA3D-483E-BCA8-62C611CE834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rgbClr val="343434"/>
                </a:solidFill>
                <a:latin typeface="Bahnschrift Bold" panose="020B0502040204020203" pitchFamily="34" charset="0"/>
                <a:ea typeface="+mn-ea"/>
                <a:cs typeface="+mn-cs"/>
              </a:defRPr>
            </a:pPr>
            <a:r>
              <a:rPr lang="en-US" sz="1200" b="0" i="0" u="none" strike="noStrike" kern="1200" cap="none" spc="0" normalizeH="0" baseline="0">
                <a:solidFill>
                  <a:srgbClr val="343434"/>
                </a:solidFill>
                <a:latin typeface="Bahnschrift Bold" panose="020B0502040204020203" pitchFamily="34" charset="0"/>
              </a:rPr>
              <a:t>Anticipated Ecological Conservation and Restoration Prerequisites &amp; Credits</a:t>
            </a:r>
          </a:p>
        </c:rich>
      </c:tx>
      <c:overlay val="0"/>
      <c:spPr>
        <a:noFill/>
        <a:ln>
          <a:noFill/>
        </a:ln>
        <a:effectLst/>
      </c:spPr>
      <c:txPr>
        <a:bodyPr rot="0" spcFirstLastPara="1" vertOverflow="ellipsis" vert="horz" wrap="square" anchor="ctr" anchorCtr="1"/>
        <a:lstStyle/>
        <a:p>
          <a:pPr>
            <a:defRPr sz="1200" b="1" i="0" u="none" strike="noStrike" kern="1200" cap="all" baseline="0">
              <a:solidFill>
                <a:srgbClr val="343434"/>
              </a:solidFill>
              <a:latin typeface="Bahnschrift Bold" panose="020B0502040204020203" pitchFamily="34" charset="0"/>
              <a:ea typeface="+mn-ea"/>
              <a:cs typeface="+mn-cs"/>
            </a:defRPr>
          </a:pPr>
          <a:endParaRPr lang="en-US"/>
        </a:p>
      </c:txPr>
    </c:title>
    <c:autoTitleDeleted val="0"/>
    <c:plotArea>
      <c:layout>
        <c:manualLayout>
          <c:layoutTarget val="inner"/>
          <c:xMode val="edge"/>
          <c:yMode val="edge"/>
          <c:x val="0.3214610673665792"/>
          <c:y val="0.25620555248523047"/>
          <c:w val="0.415411198600175"/>
          <c:h val="0.69283313178625427"/>
        </c:manualLayout>
      </c:layout>
      <c:pieChart>
        <c:varyColors val="1"/>
        <c:ser>
          <c:idx val="0"/>
          <c:order val="0"/>
          <c:dPt>
            <c:idx val="0"/>
            <c:bubble3D val="0"/>
            <c:spPr>
              <a:solidFill>
                <a:schemeClr val="accent3">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9EA7-4014-A096-9F3B034378C3}"/>
              </c:ext>
            </c:extLst>
          </c:dPt>
          <c:dPt>
            <c:idx val="1"/>
            <c:bubble3D val="0"/>
            <c:spPr>
              <a:solidFill>
                <a:schemeClr val="accent3">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9EA7-4014-A096-9F3B034378C3}"/>
              </c:ext>
            </c:extLst>
          </c:dPt>
          <c:dPt>
            <c:idx val="2"/>
            <c:bubble3D val="0"/>
            <c:spPr>
              <a:solidFill>
                <a:schemeClr val="accent3">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9EA7-4014-A096-9F3B034378C3}"/>
              </c:ext>
            </c:extLst>
          </c:dPt>
          <c:dPt>
            <c:idx val="3"/>
            <c:bubble3D val="0"/>
            <c:spPr>
              <a:solidFill>
                <a:schemeClr val="accent3">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9EA7-4014-A096-9F3B034378C3}"/>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A-9EA7-4014-A096-9F3B034378C3}"/>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B-9EA7-4014-A096-9F3B034378C3}"/>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C-9EA7-4014-A096-9F3B034378C3}"/>
                </c:ext>
              </c:extLst>
            </c:dLbl>
            <c:dLbl>
              <c:idx val="3"/>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D-9EA7-4014-A096-9F3B034378C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bg1"/>
                    </a:solidFill>
                    <a:latin typeface="Bahnschrift Light SemiCondensed" panose="020B0502040204020203" pitchFamily="34" charset="0"/>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Background!$Q$14:$T$14</c:f>
              <c:strCache>
                <c:ptCount val="4"/>
                <c:pt idx="0">
                  <c:v>Yes</c:v>
                </c:pt>
                <c:pt idx="1">
                  <c:v>Maybe</c:v>
                </c:pt>
                <c:pt idx="2">
                  <c:v>No</c:v>
                </c:pt>
                <c:pt idx="3">
                  <c:v>Blank</c:v>
                </c:pt>
              </c:strCache>
            </c:strRef>
          </c:cat>
          <c:val>
            <c:numRef>
              <c:f>Background!$Q$15:$T$15</c:f>
              <c:numCache>
                <c:formatCode>General</c:formatCode>
                <c:ptCount val="4"/>
                <c:pt idx="0">
                  <c:v>0</c:v>
                </c:pt>
                <c:pt idx="1">
                  <c:v>0</c:v>
                </c:pt>
                <c:pt idx="2">
                  <c:v>0</c:v>
                </c:pt>
                <c:pt idx="3">
                  <c:v>19</c:v>
                </c:pt>
              </c:numCache>
            </c:numRef>
          </c:val>
          <c:extLst>
            <c:ext xmlns:c16="http://schemas.microsoft.com/office/drawing/2014/chart" uri="{C3380CC4-5D6E-409C-BE32-E72D297353CC}">
              <c16:uniqueId val="{00000009-9EA7-4014-A096-9F3B034378C3}"/>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3347217847769029"/>
          <c:y val="0.16497567755385684"/>
          <c:w val="0.34166754155730533"/>
          <c:h val="7.733133427814226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r>
              <a:rPr lang="en-US" sz="1400">
                <a:latin typeface="Bahnschrift Bold" panose="020B0502040204020203" pitchFamily="34" charset="0"/>
              </a:rPr>
              <a:t>Total Anticipated Points by Credit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rgbClr val="343434"/>
              </a:solidFill>
              <a:latin typeface="+mj-lt"/>
              <a:ea typeface="+mj-ea"/>
              <a:cs typeface="+mj-cs"/>
            </a:defRPr>
          </a:pPr>
          <a:endParaRPr lang="en-US"/>
        </a:p>
      </c:txPr>
    </c:title>
    <c:autoTitleDeleted val="0"/>
    <c:plotArea>
      <c:layout>
        <c:manualLayout>
          <c:layoutTarget val="inner"/>
          <c:xMode val="edge"/>
          <c:yMode val="edge"/>
          <c:x val="0.41059361329833771"/>
          <c:y val="0.2158246828143022"/>
          <c:w val="0.55323272090988629"/>
          <c:h val="0.67684712421327953"/>
        </c:manualLayout>
      </c:layout>
      <c:barChart>
        <c:barDir val="bar"/>
        <c:grouping val="clustered"/>
        <c:varyColors val="0"/>
        <c:ser>
          <c:idx val="0"/>
          <c:order val="0"/>
          <c:tx>
            <c:strRef>
              <c:f>Background!$F$15</c:f>
              <c:strCache>
                <c:ptCount val="1"/>
                <c:pt idx="0">
                  <c:v>Total Anticipated Points</c:v>
                </c:pt>
              </c:strCache>
            </c:strRef>
          </c:tx>
          <c:spPr>
            <a:solidFill>
              <a:schemeClr val="accent3"/>
            </a:solidFill>
            <a:ln>
              <a:noFill/>
            </a:ln>
            <a:effectLst/>
          </c:spPr>
          <c:invertIfNegative val="0"/>
          <c:cat>
            <c:strRef>
              <c:f>Background!$A$18:$A$25</c:f>
              <c:strCache>
                <c:ptCount val="8"/>
                <c:pt idx="0">
                  <c:v>Integrative Process, Planning and Assessments (IP)</c:v>
                </c:pt>
                <c:pt idx="1">
                  <c:v>Location and Transportation (LT)</c:v>
                </c:pt>
                <c:pt idx="2">
                  <c:v>Sustainable Sites (SS)</c:v>
                </c:pt>
                <c:pt idx="3">
                  <c:v>Water Efficiency (WE)</c:v>
                </c:pt>
                <c:pt idx="4">
                  <c:v>Energy and Atmosphere (EA)</c:v>
                </c:pt>
                <c:pt idx="5">
                  <c:v>Materials and Resources (MR)</c:v>
                </c:pt>
                <c:pt idx="6">
                  <c:v>Indoor Environmental Quality (EQ)</c:v>
                </c:pt>
                <c:pt idx="7">
                  <c:v>Project Priorities (PR)</c:v>
                </c:pt>
              </c:strCache>
            </c:strRef>
          </c:cat>
          <c:val>
            <c:numRef>
              <c:f>Background!$F$18:$F$25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C1D6-4DBF-BAA5-9C0BCB63438A}"/>
            </c:ext>
          </c:extLst>
        </c:ser>
        <c:dLbls>
          <c:showLegendKey val="0"/>
          <c:showVal val="0"/>
          <c:showCatName val="0"/>
          <c:showSerName val="0"/>
          <c:showPercent val="0"/>
          <c:showBubbleSize val="0"/>
        </c:dLbls>
        <c:gapWidth val="269"/>
        <c:overlap val="-20"/>
        <c:axId val="948480928"/>
        <c:axId val="948480448"/>
      </c:barChart>
      <c:catAx>
        <c:axId val="948480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48480448"/>
        <c:crosses val="autoZero"/>
        <c:auto val="1"/>
        <c:lblAlgn val="ctr"/>
        <c:lblOffset val="100"/>
        <c:noMultiLvlLbl val="0"/>
      </c:catAx>
      <c:valAx>
        <c:axId val="9484804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484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r>
              <a:rPr lang="en-US" sz="1400" b="0">
                <a:latin typeface="Bahnschrift Bold" panose="020B0502040204020203" pitchFamily="34" charset="0"/>
              </a:rPr>
              <a:t>Total Possible Points by</a:t>
            </a:r>
            <a:r>
              <a:rPr lang="en-US" sz="1400" b="0" baseline="0">
                <a:latin typeface="Bahnschrift Bold" panose="020B0502040204020203" pitchFamily="34" charset="0"/>
              </a:rPr>
              <a:t> Credit Category</a:t>
            </a:r>
            <a:endParaRPr lang="en-US" sz="1400" b="0">
              <a:latin typeface="Bahnschrift 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rgbClr val="343434"/>
              </a:solidFill>
              <a:latin typeface="Bahnschrift Bold" panose="020B0502040204020203" pitchFamily="34" charset="0"/>
              <a:ea typeface="+mj-ea"/>
              <a:cs typeface="+mj-cs"/>
            </a:defRPr>
          </a:pPr>
          <a:endParaRPr lang="en-US"/>
        </a:p>
      </c:txPr>
    </c:title>
    <c:autoTitleDeleted val="0"/>
    <c:plotArea>
      <c:layout/>
      <c:barChart>
        <c:barDir val="bar"/>
        <c:grouping val="clustered"/>
        <c:varyColors val="0"/>
        <c:ser>
          <c:idx val="0"/>
          <c:order val="0"/>
          <c:tx>
            <c:strRef>
              <c:f>Background!$E$15</c:f>
              <c:strCache>
                <c:ptCount val="1"/>
                <c:pt idx="0">
                  <c:v>Total Possible Points</c:v>
                </c:pt>
              </c:strCache>
            </c:strRef>
          </c:tx>
          <c:spPr>
            <a:solidFill>
              <a:schemeClr val="dk1">
                <a:tint val="88500"/>
              </a:schemeClr>
            </a:solidFill>
            <a:ln>
              <a:noFill/>
            </a:ln>
            <a:effectLst/>
          </c:spPr>
          <c:invertIfNegative val="0"/>
          <c:cat>
            <c:strRef>
              <c:f>Background!$A$18:$A$25</c:f>
              <c:strCache>
                <c:ptCount val="8"/>
                <c:pt idx="0">
                  <c:v>Integrative Process, Planning and Assessments (IP)</c:v>
                </c:pt>
                <c:pt idx="1">
                  <c:v>Location and Transportation (LT)</c:v>
                </c:pt>
                <c:pt idx="2">
                  <c:v>Sustainable Sites (SS)</c:v>
                </c:pt>
                <c:pt idx="3">
                  <c:v>Water Efficiency (WE)</c:v>
                </c:pt>
                <c:pt idx="4">
                  <c:v>Energy and Atmosphere (EA)</c:v>
                </c:pt>
                <c:pt idx="5">
                  <c:v>Materials and Resources (MR)</c:v>
                </c:pt>
                <c:pt idx="6">
                  <c:v>Indoor Environmental Quality (EQ)</c:v>
                </c:pt>
                <c:pt idx="7">
                  <c:v>Project Priorities (PR)</c:v>
                </c:pt>
              </c:strCache>
            </c:strRef>
          </c:cat>
          <c:val>
            <c:numRef>
              <c:f>Background!$E$18:$E$25</c:f>
              <c:numCache>
                <c:formatCode>General</c:formatCode>
                <c:ptCount val="8"/>
                <c:pt idx="0">
                  <c:v>1</c:v>
                </c:pt>
                <c:pt idx="1">
                  <c:v>15</c:v>
                </c:pt>
                <c:pt idx="2">
                  <c:v>11</c:v>
                </c:pt>
                <c:pt idx="3">
                  <c:v>9</c:v>
                </c:pt>
                <c:pt idx="4">
                  <c:v>33</c:v>
                </c:pt>
                <c:pt idx="5">
                  <c:v>18</c:v>
                </c:pt>
                <c:pt idx="6">
                  <c:v>13</c:v>
                </c:pt>
                <c:pt idx="7">
                  <c:v>10</c:v>
                </c:pt>
              </c:numCache>
            </c:numRef>
          </c:val>
          <c:extLst>
            <c:ext xmlns:c16="http://schemas.microsoft.com/office/drawing/2014/chart" uri="{C3380CC4-5D6E-409C-BE32-E72D297353CC}">
              <c16:uniqueId val="{00000000-B454-4052-8E71-17552E55B59A}"/>
            </c:ext>
          </c:extLst>
        </c:ser>
        <c:dLbls>
          <c:showLegendKey val="0"/>
          <c:showVal val="0"/>
          <c:showCatName val="0"/>
          <c:showSerName val="0"/>
          <c:showPercent val="0"/>
          <c:showBubbleSize val="0"/>
        </c:dLbls>
        <c:gapWidth val="269"/>
        <c:overlap val="-20"/>
        <c:axId val="948480928"/>
        <c:axId val="948480448"/>
      </c:barChart>
      <c:catAx>
        <c:axId val="948480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rgbClr val="343434"/>
                </a:solidFill>
                <a:latin typeface="Bahnschrift Light SemiCondensed" panose="020B0502040204020203" pitchFamily="34" charset="0"/>
                <a:ea typeface="+mn-ea"/>
                <a:cs typeface="+mn-cs"/>
              </a:defRPr>
            </a:pPr>
            <a:endParaRPr lang="en-US"/>
          </a:p>
        </c:txPr>
        <c:crossAx val="948480448"/>
        <c:crosses val="autoZero"/>
        <c:auto val="1"/>
        <c:lblAlgn val="ctr"/>
        <c:lblOffset val="100"/>
        <c:noMultiLvlLbl val="0"/>
      </c:catAx>
      <c:valAx>
        <c:axId val="948480448"/>
        <c:scaling>
          <c:orientation val="minMax"/>
          <c:max val="3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3434"/>
                </a:solidFill>
                <a:latin typeface="Bahnschrift Light SemiCondensed" panose="020B0502040204020203" pitchFamily="34" charset="0"/>
                <a:ea typeface="+mn-ea"/>
                <a:cs typeface="+mn-cs"/>
              </a:defRPr>
            </a:pPr>
            <a:endParaRPr lang="en-US"/>
          </a:p>
        </c:txPr>
        <c:crossAx val="94848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343434"/>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27257</xdr:colOff>
      <xdr:row>1</xdr:row>
      <xdr:rowOff>330645</xdr:rowOff>
    </xdr:from>
    <xdr:to>
      <xdr:col>10</xdr:col>
      <xdr:colOff>322532</xdr:colOff>
      <xdr:row>1</xdr:row>
      <xdr:rowOff>626682</xdr:rowOff>
    </xdr:to>
    <xdr:pic>
      <xdr:nvPicPr>
        <xdr:cNvPr id="2" name="Picture 1">
          <a:extLst>
            <a:ext uri="{FF2B5EF4-FFF2-40B4-BE49-F238E27FC236}">
              <a16:creationId xmlns:a16="http://schemas.microsoft.com/office/drawing/2014/main" id="{9E635532-DDEF-4B6C-A9E7-8178FE1C263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21352" y="507810"/>
          <a:ext cx="910590" cy="3036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436245</xdr:colOff>
      <xdr:row>19</xdr:row>
      <xdr:rowOff>59055</xdr:rowOff>
    </xdr:from>
    <xdr:to>
      <xdr:col>11</xdr:col>
      <xdr:colOff>588645</xdr:colOff>
      <xdr:row>34</xdr:row>
      <xdr:rowOff>85725</xdr:rowOff>
    </xdr:to>
    <xdr:graphicFrame macro="">
      <xdr:nvGraphicFramePr>
        <xdr:cNvPr id="2" name="Chart 1">
          <a:extLst>
            <a:ext uri="{FF2B5EF4-FFF2-40B4-BE49-F238E27FC236}">
              <a16:creationId xmlns:a16="http://schemas.microsoft.com/office/drawing/2014/main" id="{F919C673-8CC3-4F82-B335-794280E6C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601979</xdr:colOff>
      <xdr:row>19</xdr:row>
      <xdr:rowOff>49530</xdr:rowOff>
    </xdr:from>
    <xdr:to>
      <xdr:col>23</xdr:col>
      <xdr:colOff>144779</xdr:colOff>
      <xdr:row>34</xdr:row>
      <xdr:rowOff>76200</xdr:rowOff>
    </xdr:to>
    <xdr:graphicFrame macro="">
      <xdr:nvGraphicFramePr>
        <xdr:cNvPr id="3" name="Chart 2">
          <a:extLst>
            <a:ext uri="{FF2B5EF4-FFF2-40B4-BE49-F238E27FC236}">
              <a16:creationId xmlns:a16="http://schemas.microsoft.com/office/drawing/2014/main" id="{9AF2686E-608F-406F-9334-9EE080BC3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460057</xdr:colOff>
      <xdr:row>4</xdr:row>
      <xdr:rowOff>116205</xdr:rowOff>
    </xdr:from>
    <xdr:to>
      <xdr:col>23</xdr:col>
      <xdr:colOff>155257</xdr:colOff>
      <xdr:row>19</xdr:row>
      <xdr:rowOff>59055</xdr:rowOff>
    </xdr:to>
    <xdr:graphicFrame macro="">
      <xdr:nvGraphicFramePr>
        <xdr:cNvPr id="6" name="Chart 5">
          <a:extLst>
            <a:ext uri="{FF2B5EF4-FFF2-40B4-BE49-F238E27FC236}">
              <a16:creationId xmlns:a16="http://schemas.microsoft.com/office/drawing/2014/main" id="{CD70C9FF-DA9E-CA8A-4FF6-541929D1C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424815</xdr:colOff>
      <xdr:row>34</xdr:row>
      <xdr:rowOff>102860</xdr:rowOff>
    </xdr:from>
    <xdr:to>
      <xdr:col>8</xdr:col>
      <xdr:colOff>120015</xdr:colOff>
      <xdr:row>47</xdr:row>
      <xdr:rowOff>114290</xdr:rowOff>
    </xdr:to>
    <xdr:graphicFrame macro="">
      <xdr:nvGraphicFramePr>
        <xdr:cNvPr id="7" name="Chart 6">
          <a:extLst>
            <a:ext uri="{FF2B5EF4-FFF2-40B4-BE49-F238E27FC236}">
              <a16:creationId xmlns:a16="http://schemas.microsoft.com/office/drawing/2014/main" id="{5124A5E6-8351-4B03-8F68-F8B87865B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130011</xdr:colOff>
      <xdr:row>34</xdr:row>
      <xdr:rowOff>97146</xdr:rowOff>
    </xdr:from>
    <xdr:to>
      <xdr:col>15</xdr:col>
      <xdr:colOff>434811</xdr:colOff>
      <xdr:row>47</xdr:row>
      <xdr:rowOff>104766</xdr:rowOff>
    </xdr:to>
    <xdr:graphicFrame macro="">
      <xdr:nvGraphicFramePr>
        <xdr:cNvPr id="8" name="Chart 7">
          <a:extLst>
            <a:ext uri="{FF2B5EF4-FFF2-40B4-BE49-F238E27FC236}">
              <a16:creationId xmlns:a16="http://schemas.microsoft.com/office/drawing/2014/main" id="{3A2FEB93-9C58-4B80-97FA-E75BCE5CF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447670</xdr:colOff>
      <xdr:row>34</xdr:row>
      <xdr:rowOff>87625</xdr:rowOff>
    </xdr:from>
    <xdr:to>
      <xdr:col>23</xdr:col>
      <xdr:colOff>142870</xdr:colOff>
      <xdr:row>47</xdr:row>
      <xdr:rowOff>93340</xdr:rowOff>
    </xdr:to>
    <xdr:graphicFrame macro="">
      <xdr:nvGraphicFramePr>
        <xdr:cNvPr id="9" name="Chart 8">
          <a:extLst>
            <a:ext uri="{FF2B5EF4-FFF2-40B4-BE49-F238E27FC236}">
              <a16:creationId xmlns:a16="http://schemas.microsoft.com/office/drawing/2014/main" id="{F01DB585-EC1F-459C-A388-90D9BE9FB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468154</xdr:colOff>
      <xdr:row>4</xdr:row>
      <xdr:rowOff>110490</xdr:rowOff>
    </xdr:from>
    <xdr:to>
      <xdr:col>8</xdr:col>
      <xdr:colOff>163354</xdr:colOff>
      <xdr:row>19</xdr:row>
      <xdr:rowOff>47625</xdr:rowOff>
    </xdr:to>
    <xdr:graphicFrame macro="">
      <xdr:nvGraphicFramePr>
        <xdr:cNvPr id="10" name="Chart 9">
          <a:extLst>
            <a:ext uri="{FF2B5EF4-FFF2-40B4-BE49-F238E27FC236}">
              <a16:creationId xmlns:a16="http://schemas.microsoft.com/office/drawing/2014/main" id="{C734B44E-7370-D630-D7C8-C3213493A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144780</xdr:colOff>
      <xdr:row>4</xdr:row>
      <xdr:rowOff>116205</xdr:rowOff>
    </xdr:from>
    <xdr:to>
      <xdr:col>15</xdr:col>
      <xdr:colOff>449580</xdr:colOff>
      <xdr:row>19</xdr:row>
      <xdr:rowOff>53340</xdr:rowOff>
    </xdr:to>
    <xdr:graphicFrame macro="">
      <xdr:nvGraphicFramePr>
        <xdr:cNvPr id="11" name="Chart 10">
          <a:extLst>
            <a:ext uri="{FF2B5EF4-FFF2-40B4-BE49-F238E27FC236}">
              <a16:creationId xmlns:a16="http://schemas.microsoft.com/office/drawing/2014/main" id="{38954E51-8E10-4B1B-AC60-6850F5E9B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LEED v5 Theme">
  <a:themeElements>
    <a:clrScheme name="LEED v5 colors">
      <a:dk1>
        <a:srgbClr val="684659"/>
      </a:dk1>
      <a:lt1>
        <a:srgbClr val="FFFFFF"/>
      </a:lt1>
      <a:dk2>
        <a:srgbClr val="004961"/>
      </a:dk2>
      <a:lt2>
        <a:srgbClr val="7E8AA2"/>
      </a:lt2>
      <a:accent1>
        <a:srgbClr val="952713"/>
      </a:accent1>
      <a:accent2>
        <a:srgbClr val="B87400"/>
      </a:accent2>
      <a:accent3>
        <a:srgbClr val="536426"/>
      </a:accent3>
      <a:accent4>
        <a:srgbClr val="006570"/>
      </a:accent4>
      <a:accent5>
        <a:srgbClr val="C75127"/>
      </a:accent5>
      <a:accent6>
        <a:srgbClr val="7C4901"/>
      </a:accent6>
      <a:hlink>
        <a:srgbClr val="004861"/>
      </a:hlink>
      <a:folHlink>
        <a:srgbClr val="67465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LEED v5 Theme" id="{3381DE98-6E31-B54A-9888-C91E91952C3A}" vid="{D09A2C7D-7B63-C847-94C9-701BC5BCA44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199BF-CD5D-4FE4-92E2-BC85E4F50C73}">
  <dimension ref="A2:L18"/>
  <sheetViews>
    <sheetView tabSelected="1" workbookViewId="0">
      <selection activeCell="B2" sqref="B2:K2"/>
    </sheetView>
  </sheetViews>
  <sheetFormatPr defaultRowHeight="14.4" x14ac:dyDescent="0.3"/>
  <cols>
    <col min="1" max="2" width="8.88671875" style="3"/>
    <col min="3" max="4" width="13.33203125" style="3" customWidth="1"/>
    <col min="5" max="16384" width="8.88671875" style="3"/>
  </cols>
  <sheetData>
    <row r="2" spans="1:12" ht="75" customHeight="1" x14ac:dyDescent="0.3">
      <c r="B2" s="265" t="s">
        <v>87</v>
      </c>
      <c r="C2" s="266"/>
      <c r="D2" s="266"/>
      <c r="E2" s="266"/>
      <c r="F2" s="266"/>
      <c r="G2" s="266"/>
      <c r="H2" s="266"/>
      <c r="I2" s="266"/>
      <c r="J2" s="266"/>
      <c r="K2" s="267"/>
    </row>
    <row r="3" spans="1:12" ht="34.799999999999997" customHeight="1" x14ac:dyDescent="0.3">
      <c r="B3" s="113"/>
      <c r="C3" s="268" t="s">
        <v>88</v>
      </c>
      <c r="D3" s="268"/>
      <c r="E3" s="190"/>
      <c r="F3" s="269" t="s">
        <v>160</v>
      </c>
      <c r="G3" s="269"/>
      <c r="H3" s="269"/>
      <c r="I3" s="269"/>
      <c r="J3" s="269"/>
      <c r="K3" s="270"/>
      <c r="L3" s="114"/>
    </row>
    <row r="4" spans="1:12" ht="34.799999999999997" customHeight="1" x14ac:dyDescent="0.3">
      <c r="B4" s="115"/>
      <c r="C4" s="262" t="s">
        <v>89</v>
      </c>
      <c r="D4" s="262"/>
      <c r="E4" s="191"/>
      <c r="F4" s="263" t="s">
        <v>161</v>
      </c>
      <c r="G4" s="263"/>
      <c r="H4" s="263"/>
      <c r="I4" s="263"/>
      <c r="J4" s="263"/>
      <c r="K4" s="264"/>
      <c r="L4" s="114"/>
    </row>
    <row r="5" spans="1:12" ht="34.799999999999997" customHeight="1" x14ac:dyDescent="0.3">
      <c r="B5" s="115"/>
      <c r="C5" s="262" t="s">
        <v>0</v>
      </c>
      <c r="D5" s="262"/>
      <c r="E5" s="191"/>
      <c r="F5" s="263" t="s">
        <v>162</v>
      </c>
      <c r="G5" s="263"/>
      <c r="H5" s="263"/>
      <c r="I5" s="263"/>
      <c r="J5" s="263"/>
      <c r="K5" s="264"/>
      <c r="L5" s="114"/>
    </row>
    <row r="6" spans="1:12" ht="21.6" customHeight="1" x14ac:dyDescent="0.3">
      <c r="B6" s="115"/>
      <c r="C6" s="181"/>
      <c r="D6" s="181"/>
      <c r="E6" s="181"/>
      <c r="F6" s="181"/>
      <c r="G6" s="181"/>
      <c r="H6" s="181"/>
      <c r="I6" s="181"/>
      <c r="J6" s="181"/>
      <c r="K6" s="182"/>
      <c r="L6" s="114"/>
    </row>
    <row r="7" spans="1:12" x14ac:dyDescent="0.3">
      <c r="B7" s="116"/>
      <c r="C7" s="273" t="s">
        <v>1</v>
      </c>
      <c r="D7" s="273"/>
      <c r="E7" s="273"/>
      <c r="F7" s="273"/>
      <c r="G7" s="273"/>
      <c r="H7" s="273"/>
      <c r="I7" s="273"/>
      <c r="J7" s="273"/>
      <c r="K7" s="274"/>
      <c r="L7" s="114"/>
    </row>
    <row r="8" spans="1:12" x14ac:dyDescent="0.3">
      <c r="B8" s="115"/>
      <c r="C8" s="271" t="s">
        <v>90</v>
      </c>
      <c r="D8" s="271"/>
      <c r="E8" s="271"/>
      <c r="F8" s="271"/>
      <c r="G8" s="271"/>
      <c r="H8" s="271"/>
      <c r="I8" s="271"/>
      <c r="J8" s="271"/>
      <c r="K8" s="272"/>
      <c r="L8" s="114"/>
    </row>
    <row r="9" spans="1:12" ht="28.2" customHeight="1" x14ac:dyDescent="0.3">
      <c r="B9" s="115"/>
      <c r="C9" s="271" t="s">
        <v>2</v>
      </c>
      <c r="D9" s="271"/>
      <c r="E9" s="271"/>
      <c r="F9" s="271"/>
      <c r="G9" s="271"/>
      <c r="H9" s="271"/>
      <c r="I9" s="271"/>
      <c r="J9" s="271"/>
      <c r="K9" s="272"/>
      <c r="L9" s="114"/>
    </row>
    <row r="10" spans="1:12" ht="21" customHeight="1" x14ac:dyDescent="0.3">
      <c r="B10" s="115"/>
      <c r="C10" s="183"/>
      <c r="D10" s="271" t="s">
        <v>183</v>
      </c>
      <c r="E10" s="271"/>
      <c r="F10" s="271"/>
      <c r="G10" s="271"/>
      <c r="H10" s="271"/>
      <c r="I10" s="271"/>
      <c r="J10" s="271"/>
      <c r="K10" s="272"/>
      <c r="L10" s="114"/>
    </row>
    <row r="11" spans="1:12" ht="21" customHeight="1" x14ac:dyDescent="0.3">
      <c r="B11" s="115"/>
      <c r="C11" s="183"/>
      <c r="D11" s="271" t="s">
        <v>163</v>
      </c>
      <c r="E11" s="271"/>
      <c r="F11" s="271"/>
      <c r="G11" s="271"/>
      <c r="H11" s="271"/>
      <c r="I11" s="271"/>
      <c r="J11" s="271"/>
      <c r="K11" s="272"/>
      <c r="L11" s="114"/>
    </row>
    <row r="12" spans="1:12" ht="21" customHeight="1" x14ac:dyDescent="0.3">
      <c r="B12" s="116"/>
      <c r="C12" s="183"/>
      <c r="D12" s="271" t="s">
        <v>164</v>
      </c>
      <c r="E12" s="271"/>
      <c r="F12" s="271"/>
      <c r="G12" s="271"/>
      <c r="H12" s="271"/>
      <c r="I12" s="271"/>
      <c r="J12" s="271"/>
      <c r="K12" s="272"/>
      <c r="L12" s="114"/>
    </row>
    <row r="13" spans="1:12" ht="33" customHeight="1" x14ac:dyDescent="0.3">
      <c r="B13" s="116"/>
      <c r="C13" s="271" t="s">
        <v>86</v>
      </c>
      <c r="D13" s="271"/>
      <c r="E13" s="271"/>
      <c r="F13" s="271"/>
      <c r="G13" s="271"/>
      <c r="H13" s="271"/>
      <c r="I13" s="271"/>
      <c r="J13" s="271"/>
      <c r="K13" s="272"/>
      <c r="L13" s="114"/>
    </row>
    <row r="14" spans="1:12" ht="33" customHeight="1" x14ac:dyDescent="0.3">
      <c r="B14" s="116"/>
      <c r="C14" s="275" t="s">
        <v>171</v>
      </c>
      <c r="D14" s="275"/>
      <c r="E14" s="275"/>
      <c r="F14" s="275"/>
      <c r="G14" s="275"/>
      <c r="H14" s="275"/>
      <c r="I14" s="275"/>
      <c r="J14" s="275"/>
      <c r="K14" s="276"/>
      <c r="L14" s="114"/>
    </row>
    <row r="15" spans="1:12" ht="28.8" customHeight="1" x14ac:dyDescent="0.3">
      <c r="B15" s="115"/>
      <c r="C15" s="271" t="s">
        <v>172</v>
      </c>
      <c r="D15" s="271"/>
      <c r="E15" s="271"/>
      <c r="F15" s="271"/>
      <c r="G15" s="271"/>
      <c r="H15" s="271"/>
      <c r="I15" s="271"/>
      <c r="J15" s="271"/>
      <c r="K15" s="272"/>
      <c r="L15" s="114"/>
    </row>
    <row r="16" spans="1:12" ht="45.6" customHeight="1" x14ac:dyDescent="0.3">
      <c r="A16" s="179"/>
      <c r="B16" s="115"/>
      <c r="C16" s="273" t="s">
        <v>3</v>
      </c>
      <c r="D16" s="273"/>
      <c r="E16" s="273"/>
      <c r="F16" s="273"/>
      <c r="G16" s="273"/>
      <c r="H16" s="273"/>
      <c r="I16" s="273"/>
      <c r="J16" s="273"/>
      <c r="K16" s="274"/>
      <c r="L16" s="180"/>
    </row>
    <row r="17" spans="1:12" ht="27.6" x14ac:dyDescent="0.3">
      <c r="A17" s="109"/>
      <c r="B17" s="117"/>
      <c r="C17" s="118"/>
      <c r="D17" s="118"/>
      <c r="E17" s="118"/>
      <c r="F17" s="118"/>
      <c r="G17" s="118"/>
      <c r="H17" s="118"/>
      <c r="I17" s="118"/>
      <c r="J17" s="118"/>
      <c r="K17" s="119"/>
      <c r="L17" s="110"/>
    </row>
    <row r="18" spans="1:12" x14ac:dyDescent="0.3">
      <c r="A18" s="45"/>
      <c r="B18" s="19"/>
      <c r="C18" s="19"/>
      <c r="D18" s="19"/>
      <c r="E18" s="19"/>
      <c r="F18" s="19"/>
      <c r="G18" s="19"/>
      <c r="H18" s="19"/>
      <c r="I18" s="19"/>
      <c r="J18" s="19"/>
      <c r="K18" s="19"/>
    </row>
  </sheetData>
  <sheetProtection algorithmName="SHA-512" hashValue="0hvJY2QwhRdZI1d8R7AOJsQUlTNXxH4y2EAbLmwrxQPmeBNT788aETa9r09XtEZ4CarV97ZtvaBfQRrceWOnLg==" saltValue="fpXv+RguV2ySB/siJIwxbA==" spinCount="100000" sheet="1" objects="1" scenarios="1"/>
  <mergeCells count="17">
    <mergeCell ref="C13:K13"/>
    <mergeCell ref="C15:K15"/>
    <mergeCell ref="C16:K16"/>
    <mergeCell ref="C7:K7"/>
    <mergeCell ref="C8:K8"/>
    <mergeCell ref="C9:K9"/>
    <mergeCell ref="D10:K10"/>
    <mergeCell ref="D11:K11"/>
    <mergeCell ref="D12:K12"/>
    <mergeCell ref="C14:K14"/>
    <mergeCell ref="C5:D5"/>
    <mergeCell ref="F5:K5"/>
    <mergeCell ref="B2:K2"/>
    <mergeCell ref="C3:D3"/>
    <mergeCell ref="F3:K3"/>
    <mergeCell ref="C4:D4"/>
    <mergeCell ref="F4:K4"/>
  </mergeCells>
  <pageMargins left="0.7" right="0.7" top="0.75" bottom="0.75" header="0.3" footer="0.3"/>
  <pageSetup scale="85" fitToWidth="0" fitToHeight="0"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FB31-4889-472F-B488-F86F1443AEDF}">
  <sheetPr>
    <pageSetUpPr fitToPage="1"/>
  </sheetPr>
  <dimension ref="A1:W89"/>
  <sheetViews>
    <sheetView zoomScaleNormal="100" workbookViewId="0">
      <pane ySplit="8" topLeftCell="A9" activePane="bottomLeft" state="frozen"/>
      <selection pane="bottomLeft" activeCell="A2" sqref="A2"/>
    </sheetView>
  </sheetViews>
  <sheetFormatPr defaultColWidth="9.109375" defaultRowHeight="13.8" x14ac:dyDescent="0.25"/>
  <cols>
    <col min="1" max="3" width="10" style="14" customWidth="1"/>
    <col min="4" max="4" width="1" style="14" customWidth="1"/>
    <col min="5" max="5" width="5.33203125" style="1" customWidth="1"/>
    <col min="6" max="6" width="3.44140625" style="1" customWidth="1"/>
    <col min="7" max="7" width="13.77734375" style="1" customWidth="1"/>
    <col min="8" max="8" width="47.88671875" style="1" customWidth="1"/>
    <col min="9" max="10" width="12.44140625" style="1" customWidth="1"/>
    <col min="11" max="11" width="3.33203125" style="206" customWidth="1"/>
    <col min="12" max="12" width="22.109375" style="77" customWidth="1"/>
    <col min="13" max="13" width="18.77734375" style="123" customWidth="1"/>
    <col min="14" max="14" width="9.109375" style="1" customWidth="1"/>
    <col min="15" max="15" width="16" style="1" customWidth="1"/>
    <col min="16" max="16" width="5.33203125" style="1" customWidth="1"/>
    <col min="17" max="16384" width="9.109375" style="1"/>
  </cols>
  <sheetData>
    <row r="1" spans="1:21" ht="25.2" customHeight="1" x14ac:dyDescent="0.25">
      <c r="D1" s="38"/>
      <c r="E1" s="39"/>
      <c r="F1" s="40"/>
      <c r="G1" s="41"/>
      <c r="H1" s="41"/>
      <c r="I1" s="2"/>
      <c r="L1" s="224" t="s">
        <v>22</v>
      </c>
      <c r="M1" s="224"/>
      <c r="N1" s="224"/>
      <c r="S1" s="47"/>
    </row>
    <row r="2" spans="1:21" ht="25.2" customHeight="1" x14ac:dyDescent="0.25">
      <c r="A2" s="42" t="s">
        <v>98</v>
      </c>
      <c r="B2" s="42"/>
      <c r="D2" s="38"/>
      <c r="F2" s="43"/>
      <c r="G2" s="43"/>
      <c r="H2" s="43"/>
      <c r="I2" s="44"/>
      <c r="L2" s="250" t="s">
        <v>5</v>
      </c>
      <c r="M2" s="74">
        <f>A83</f>
        <v>0</v>
      </c>
      <c r="N2" s="251" t="s">
        <v>9</v>
      </c>
      <c r="P2" s="127" t="s">
        <v>29</v>
      </c>
      <c r="Q2" s="125"/>
      <c r="R2" s="125"/>
    </row>
    <row r="3" spans="1:21" ht="13.95" customHeight="1" x14ac:dyDescent="0.25">
      <c r="A3" s="45" t="s">
        <v>23</v>
      </c>
      <c r="B3" s="45"/>
      <c r="D3" s="46"/>
      <c r="I3" s="47"/>
      <c r="L3" s="54" t="s">
        <v>6</v>
      </c>
      <c r="M3" s="55">
        <f>B83</f>
        <v>0</v>
      </c>
      <c r="N3" s="56" t="s">
        <v>9</v>
      </c>
      <c r="P3" s="307" t="s">
        <v>32</v>
      </c>
      <c r="Q3" s="307"/>
      <c r="R3" s="307"/>
    </row>
    <row r="4" spans="1:21" ht="13.95" customHeight="1" x14ac:dyDescent="0.25">
      <c r="A4" s="45"/>
      <c r="B4" s="45"/>
      <c r="D4" s="46"/>
      <c r="I4" s="47"/>
      <c r="L4" s="54" t="s">
        <v>7</v>
      </c>
      <c r="M4" s="55">
        <f>C83</f>
        <v>0</v>
      </c>
      <c r="N4" s="56" t="s">
        <v>9</v>
      </c>
      <c r="P4" s="308" t="s">
        <v>34</v>
      </c>
      <c r="Q4" s="308"/>
      <c r="R4" s="308"/>
    </row>
    <row r="5" spans="1:21" ht="13.95" customHeight="1" x14ac:dyDescent="0.25">
      <c r="A5" s="66"/>
      <c r="B5" s="66"/>
      <c r="C5" s="66"/>
      <c r="D5" s="66"/>
      <c r="E5" s="66"/>
      <c r="F5" s="66"/>
      <c r="G5" s="66"/>
      <c r="H5" s="66"/>
      <c r="I5" s="66"/>
      <c r="J5" s="66"/>
      <c r="L5" s="54"/>
      <c r="M5" s="55"/>
      <c r="N5" s="56"/>
    </row>
    <row r="6" spans="1:21" ht="13.95" customHeight="1" x14ac:dyDescent="0.25">
      <c r="A6" s="1"/>
      <c r="B6" s="1"/>
      <c r="C6" s="1"/>
      <c r="D6" s="1"/>
      <c r="I6" s="277" t="s">
        <v>12</v>
      </c>
      <c r="J6" s="277" t="s">
        <v>159</v>
      </c>
      <c r="L6" s="54" t="s">
        <v>159</v>
      </c>
      <c r="M6" s="210">
        <f>J83</f>
        <v>0</v>
      </c>
      <c r="N6" s="56" t="s">
        <v>9</v>
      </c>
    </row>
    <row r="7" spans="1:21" ht="13.95" customHeight="1" x14ac:dyDescent="0.25">
      <c r="A7" s="1"/>
      <c r="B7" s="1"/>
      <c r="C7" s="1"/>
      <c r="D7" s="1"/>
      <c r="I7" s="278"/>
      <c r="J7" s="278"/>
      <c r="L7" s="58" t="s">
        <v>12</v>
      </c>
      <c r="M7" s="211">
        <f>I83</f>
        <v>110</v>
      </c>
      <c r="N7" s="59" t="s">
        <v>9</v>
      </c>
    </row>
    <row r="8" spans="1:21" ht="14.4" x14ac:dyDescent="0.3">
      <c r="A8" s="255" t="s">
        <v>5</v>
      </c>
      <c r="B8" s="255" t="s">
        <v>6</v>
      </c>
      <c r="C8" s="255" t="s">
        <v>7</v>
      </c>
      <c r="D8" s="46"/>
      <c r="E8" s="14"/>
      <c r="F8" s="14"/>
      <c r="G8" s="14"/>
      <c r="H8" s="14"/>
      <c r="I8" s="279"/>
      <c r="J8" s="279"/>
      <c r="L8" s="254" t="s">
        <v>24</v>
      </c>
      <c r="M8" s="280" t="s">
        <v>25</v>
      </c>
      <c r="N8" s="281"/>
      <c r="O8" s="282"/>
      <c r="U8"/>
    </row>
    <row r="9" spans="1:21" ht="21" customHeight="1" x14ac:dyDescent="0.25">
      <c r="A9" s="48"/>
      <c r="B9" s="48"/>
      <c r="C9" s="48"/>
      <c r="D9" s="49"/>
      <c r="E9" s="318" t="s">
        <v>13</v>
      </c>
      <c r="F9" s="318"/>
      <c r="G9" s="318"/>
      <c r="H9" s="319"/>
      <c r="I9" s="50">
        <f>SUM(I13)</f>
        <v>1</v>
      </c>
      <c r="J9" s="50">
        <f>SUM(J13)</f>
        <v>0</v>
      </c>
      <c r="L9" s="122"/>
      <c r="M9" s="124"/>
      <c r="N9" s="51"/>
    </row>
    <row r="10" spans="1:21" ht="19.2" customHeight="1" x14ac:dyDescent="0.25">
      <c r="A10" s="120" t="b">
        <v>0</v>
      </c>
      <c r="B10" s="120" t="b">
        <v>0</v>
      </c>
      <c r="C10" s="120" t="b">
        <v>0</v>
      </c>
      <c r="D10" s="107"/>
      <c r="E10" s="218" t="s">
        <v>26</v>
      </c>
      <c r="F10" s="284" t="s">
        <v>27</v>
      </c>
      <c r="G10" s="284"/>
      <c r="H10" s="284"/>
      <c r="I10" s="304" t="s">
        <v>28</v>
      </c>
      <c r="J10" s="305"/>
      <c r="K10" s="236"/>
      <c r="L10" s="201"/>
      <c r="M10" s="324"/>
      <c r="N10" s="324"/>
      <c r="O10" s="324"/>
      <c r="R10" s="94"/>
    </row>
    <row r="11" spans="1:21" ht="19.2" customHeight="1" x14ac:dyDescent="0.25">
      <c r="A11" s="120" t="b">
        <v>0</v>
      </c>
      <c r="B11" s="120" t="b">
        <v>0</v>
      </c>
      <c r="C11" s="120" t="b">
        <v>0</v>
      </c>
      <c r="D11" s="107"/>
      <c r="E11" s="218" t="s">
        <v>30</v>
      </c>
      <c r="F11" s="284" t="s">
        <v>31</v>
      </c>
      <c r="G11" s="284"/>
      <c r="H11" s="284"/>
      <c r="I11" s="304" t="s">
        <v>28</v>
      </c>
      <c r="J11" s="305" t="s">
        <v>28</v>
      </c>
      <c r="L11" s="201"/>
      <c r="M11" s="324"/>
      <c r="N11" s="324"/>
      <c r="O11" s="324"/>
      <c r="R11" s="65"/>
    </row>
    <row r="12" spans="1:21" ht="19.2" customHeight="1" x14ac:dyDescent="0.25">
      <c r="A12" s="120" t="b">
        <v>0</v>
      </c>
      <c r="B12" s="120" t="b">
        <v>0</v>
      </c>
      <c r="C12" s="120" t="b">
        <v>0</v>
      </c>
      <c r="D12" s="107"/>
      <c r="E12" s="218" t="s">
        <v>33</v>
      </c>
      <c r="F12" s="284" t="s">
        <v>91</v>
      </c>
      <c r="G12" s="284"/>
      <c r="H12" s="284"/>
      <c r="I12" s="304" t="s">
        <v>28</v>
      </c>
      <c r="J12" s="305" t="s">
        <v>28</v>
      </c>
      <c r="L12" s="201"/>
      <c r="M12" s="324"/>
      <c r="N12" s="324"/>
      <c r="O12" s="324"/>
      <c r="R12" s="76"/>
    </row>
    <row r="13" spans="1:21" ht="19.2" customHeight="1" x14ac:dyDescent="0.25">
      <c r="A13" s="108">
        <v>0</v>
      </c>
      <c r="B13" s="108">
        <v>0</v>
      </c>
      <c r="C13" s="108">
        <v>0</v>
      </c>
      <c r="D13" s="57"/>
      <c r="E13" s="219" t="s">
        <v>35</v>
      </c>
      <c r="F13" s="309" t="s">
        <v>92</v>
      </c>
      <c r="G13" s="310"/>
      <c r="H13" s="311"/>
      <c r="I13" s="55">
        <v>1</v>
      </c>
      <c r="J13" s="210">
        <f>SUM(A13:B13)</f>
        <v>0</v>
      </c>
      <c r="K13" s="237" t="str">
        <f>IF(J13&gt;I13,"⚠","")</f>
        <v/>
      </c>
      <c r="L13" s="201"/>
      <c r="M13" s="324"/>
      <c r="N13" s="324"/>
      <c r="O13" s="324"/>
      <c r="P13" s="129"/>
      <c r="Q13" s="129"/>
      <c r="R13" s="130"/>
    </row>
    <row r="14" spans="1:21" ht="19.2" customHeight="1" x14ac:dyDescent="0.25">
      <c r="A14" s="60"/>
      <c r="B14" s="60"/>
      <c r="C14" s="60"/>
      <c r="D14" s="61"/>
      <c r="E14" s="62"/>
      <c r="F14" s="63"/>
      <c r="G14" s="63"/>
      <c r="H14" s="63"/>
      <c r="I14" s="64"/>
      <c r="J14" s="64"/>
      <c r="K14" s="202"/>
      <c r="L14" s="202"/>
      <c r="M14" s="203"/>
      <c r="N14" s="77"/>
      <c r="O14" s="77"/>
      <c r="P14" s="77"/>
      <c r="Q14" s="77"/>
      <c r="R14" s="77"/>
    </row>
    <row r="15" spans="1:21" ht="19.2" customHeight="1" x14ac:dyDescent="0.25">
      <c r="A15" s="68"/>
      <c r="B15" s="68"/>
      <c r="C15" s="68"/>
      <c r="D15" s="69"/>
      <c r="E15" s="314" t="s">
        <v>14</v>
      </c>
      <c r="F15" s="314"/>
      <c r="G15" s="314"/>
      <c r="H15" s="315"/>
      <c r="I15" s="70">
        <f>SUM(I16:I20)</f>
        <v>15</v>
      </c>
      <c r="J15" s="70">
        <f>SUM(J16:J20)</f>
        <v>0</v>
      </c>
      <c r="K15" s="204"/>
      <c r="L15" s="204"/>
      <c r="M15" s="205"/>
      <c r="N15" s="77"/>
      <c r="O15" s="77"/>
      <c r="P15" s="77"/>
      <c r="Q15" s="77"/>
      <c r="R15" s="77"/>
      <c r="S15" s="47"/>
    </row>
    <row r="16" spans="1:21" s="65" customFormat="1" ht="19.2" customHeight="1" x14ac:dyDescent="0.25">
      <c r="A16" s="108">
        <v>0</v>
      </c>
      <c r="B16" s="108">
        <v>0</v>
      </c>
      <c r="C16" s="108">
        <v>0</v>
      </c>
      <c r="D16" s="57"/>
      <c r="E16" s="72" t="s">
        <v>36</v>
      </c>
      <c r="F16" s="306" t="s">
        <v>95</v>
      </c>
      <c r="G16" s="306"/>
      <c r="H16" s="306"/>
      <c r="I16" s="55">
        <v>1</v>
      </c>
      <c r="J16" s="210">
        <f>SUM(A16:B16)</f>
        <v>0</v>
      </c>
      <c r="K16" s="237" t="str">
        <f t="shared" ref="K16:K17" si="0">IF(J16&gt;I16,"⚠","")</f>
        <v/>
      </c>
      <c r="L16" s="201"/>
      <c r="M16" s="324"/>
      <c r="N16" s="324"/>
      <c r="O16" s="324"/>
      <c r="P16" s="66"/>
      <c r="Q16" s="66"/>
      <c r="R16" s="67"/>
    </row>
    <row r="17" spans="1:23" s="71" customFormat="1" ht="19.2" customHeight="1" x14ac:dyDescent="0.25">
      <c r="A17" s="108">
        <v>0</v>
      </c>
      <c r="B17" s="108">
        <v>0</v>
      </c>
      <c r="C17" s="108">
        <v>0</v>
      </c>
      <c r="D17" s="57"/>
      <c r="E17" s="73" t="s">
        <v>37</v>
      </c>
      <c r="F17" s="309" t="s">
        <v>96</v>
      </c>
      <c r="G17" s="310"/>
      <c r="H17" s="311"/>
      <c r="I17" s="74">
        <v>2</v>
      </c>
      <c r="J17" s="210">
        <f>SUM(A17:B17)</f>
        <v>0</v>
      </c>
      <c r="K17" s="237" t="str">
        <f t="shared" si="0"/>
        <v/>
      </c>
      <c r="L17" s="201"/>
      <c r="M17" s="324"/>
      <c r="N17" s="324"/>
      <c r="O17" s="324"/>
      <c r="P17" s="77"/>
      <c r="Q17" s="77"/>
      <c r="R17" s="77"/>
      <c r="S17" s="76"/>
      <c r="T17" s="76"/>
      <c r="U17" s="76"/>
      <c r="V17" s="76"/>
      <c r="W17" s="77"/>
    </row>
    <row r="18" spans="1:23" s="3" customFormat="1" ht="19.2" customHeight="1" x14ac:dyDescent="0.3">
      <c r="A18" s="108">
        <v>0</v>
      </c>
      <c r="B18" s="108">
        <v>0</v>
      </c>
      <c r="C18" s="108">
        <v>0</v>
      </c>
      <c r="D18" s="57"/>
      <c r="E18" s="72" t="s">
        <v>39</v>
      </c>
      <c r="F18" s="301" t="s">
        <v>97</v>
      </c>
      <c r="G18" s="302"/>
      <c r="H18" s="303"/>
      <c r="I18" s="55">
        <v>6</v>
      </c>
      <c r="J18" s="210">
        <f>SUM(A18:B18)</f>
        <v>0</v>
      </c>
      <c r="K18" s="237" t="str">
        <f>IF(J18&gt;I18,"⚠","")</f>
        <v/>
      </c>
      <c r="L18" s="201"/>
      <c r="M18" s="324"/>
      <c r="N18" s="324"/>
      <c r="O18" s="324"/>
      <c r="P18" s="77"/>
      <c r="Q18" s="77"/>
      <c r="R18" s="77"/>
      <c r="S18" s="76"/>
      <c r="T18" s="76"/>
      <c r="U18" s="76"/>
      <c r="V18" s="76"/>
      <c r="W18" s="77"/>
    </row>
    <row r="19" spans="1:23" s="3" customFormat="1" ht="19.2" customHeight="1" x14ac:dyDescent="0.3">
      <c r="A19" s="108">
        <v>0</v>
      </c>
      <c r="B19" s="108">
        <v>0</v>
      </c>
      <c r="C19" s="108">
        <v>0</v>
      </c>
      <c r="D19" s="57"/>
      <c r="E19" s="219" t="s">
        <v>93</v>
      </c>
      <c r="F19" s="301" t="s">
        <v>38</v>
      </c>
      <c r="G19" s="302"/>
      <c r="H19" s="303"/>
      <c r="I19" s="55">
        <v>4</v>
      </c>
      <c r="J19" s="210">
        <f t="shared" ref="J19:J20" si="1">SUM(A19:B19)</f>
        <v>0</v>
      </c>
      <c r="K19" s="237" t="str">
        <f t="shared" ref="K19:K20" si="2">IF(J19&gt;I19,"⚠","")</f>
        <v/>
      </c>
      <c r="L19" s="201"/>
      <c r="M19" s="324"/>
      <c r="N19" s="324"/>
      <c r="O19" s="324"/>
      <c r="P19" s="77"/>
      <c r="Q19" s="77"/>
      <c r="R19" s="77"/>
      <c r="S19" s="76"/>
      <c r="T19" s="76"/>
      <c r="U19" s="76"/>
      <c r="V19" s="76"/>
      <c r="W19" s="77"/>
    </row>
    <row r="20" spans="1:23" s="3" customFormat="1" ht="19.2" customHeight="1" x14ac:dyDescent="0.3">
      <c r="A20" s="108">
        <v>0</v>
      </c>
      <c r="B20" s="108">
        <v>0</v>
      </c>
      <c r="C20" s="108">
        <v>0</v>
      </c>
      <c r="D20" s="57"/>
      <c r="E20" s="219" t="s">
        <v>94</v>
      </c>
      <c r="F20" s="301" t="s">
        <v>40</v>
      </c>
      <c r="G20" s="302"/>
      <c r="H20" s="303"/>
      <c r="I20" s="55">
        <v>2</v>
      </c>
      <c r="J20" s="210">
        <f t="shared" si="1"/>
        <v>0</v>
      </c>
      <c r="K20" s="237" t="str">
        <f t="shared" si="2"/>
        <v/>
      </c>
      <c r="L20" s="201"/>
      <c r="M20" s="324"/>
      <c r="N20" s="324"/>
      <c r="O20" s="324"/>
      <c r="P20" s="77"/>
      <c r="Q20" s="77"/>
      <c r="R20" s="77"/>
      <c r="S20" s="76"/>
      <c r="T20" s="76"/>
      <c r="U20" s="76"/>
      <c r="V20" s="76"/>
      <c r="W20" s="77"/>
    </row>
    <row r="21" spans="1:23" s="67" customFormat="1" ht="19.2" customHeight="1" x14ac:dyDescent="0.25">
      <c r="A21" s="75"/>
      <c r="B21" s="75"/>
      <c r="C21" s="75"/>
      <c r="D21" s="57"/>
      <c r="E21" s="72"/>
      <c r="F21" s="283"/>
      <c r="G21" s="283"/>
      <c r="H21" s="283"/>
      <c r="I21" s="55"/>
      <c r="J21" s="1"/>
      <c r="K21" s="206"/>
      <c r="L21" s="206"/>
      <c r="M21" s="207"/>
      <c r="N21" s="77"/>
      <c r="O21" s="77"/>
      <c r="P21" s="77"/>
      <c r="Q21" s="77"/>
      <c r="R21" s="77"/>
      <c r="S21" s="76"/>
      <c r="T21" s="76"/>
      <c r="U21" s="76"/>
      <c r="V21" s="76"/>
      <c r="W21" s="77"/>
    </row>
    <row r="22" spans="1:23" ht="19.2" customHeight="1" x14ac:dyDescent="0.25">
      <c r="A22" s="68"/>
      <c r="B22" s="68"/>
      <c r="C22" s="68"/>
      <c r="D22" s="69"/>
      <c r="E22" s="316" t="s">
        <v>15</v>
      </c>
      <c r="F22" s="316"/>
      <c r="G22" s="316"/>
      <c r="H22" s="317"/>
      <c r="I22" s="212">
        <f>SUM(I24:I29)</f>
        <v>11</v>
      </c>
      <c r="J22" s="212">
        <f>SUM(J24:J29)</f>
        <v>0</v>
      </c>
      <c r="L22" s="206"/>
      <c r="M22" s="207"/>
      <c r="N22" s="77"/>
      <c r="O22" s="77"/>
      <c r="P22" s="77"/>
      <c r="Q22" s="77"/>
      <c r="R22" s="77"/>
      <c r="S22" s="76"/>
      <c r="T22" s="76"/>
      <c r="U22" s="76"/>
      <c r="V22" s="76"/>
      <c r="W22" s="77"/>
    </row>
    <row r="23" spans="1:23" ht="19.2" customHeight="1" x14ac:dyDescent="0.25">
      <c r="A23" s="120" t="b">
        <v>0</v>
      </c>
      <c r="B23" s="120" t="b">
        <v>0</v>
      </c>
      <c r="C23" s="120" t="b">
        <v>0</v>
      </c>
      <c r="D23" s="107"/>
      <c r="E23" s="218" t="s">
        <v>99</v>
      </c>
      <c r="F23" s="284" t="s">
        <v>104</v>
      </c>
      <c r="G23" s="284"/>
      <c r="H23" s="284"/>
      <c r="I23" s="304" t="s">
        <v>28</v>
      </c>
      <c r="J23" s="305" t="s">
        <v>28</v>
      </c>
      <c r="K23" s="237" t="str">
        <f t="shared" ref="K23:K29" si="3">IF(J23&gt;I23,"⚠","")</f>
        <v/>
      </c>
      <c r="L23" s="201"/>
      <c r="M23" s="324"/>
      <c r="N23" s="324"/>
      <c r="O23" s="324"/>
      <c r="P23" s="77"/>
      <c r="Q23" s="77"/>
      <c r="R23" s="77"/>
      <c r="S23" s="76"/>
      <c r="T23" s="76"/>
      <c r="U23" s="76"/>
      <c r="V23" s="76"/>
      <c r="W23" s="77"/>
    </row>
    <row r="24" spans="1:23" s="76" customFormat="1" ht="19.2" customHeight="1" x14ac:dyDescent="0.25">
      <c r="A24" s="108">
        <v>0</v>
      </c>
      <c r="B24" s="108">
        <v>0</v>
      </c>
      <c r="C24" s="108">
        <v>0</v>
      </c>
      <c r="D24" s="57"/>
      <c r="E24" s="72" t="s">
        <v>41</v>
      </c>
      <c r="F24" s="283" t="s">
        <v>105</v>
      </c>
      <c r="G24" s="283"/>
      <c r="H24" s="283"/>
      <c r="I24" s="55">
        <v>2</v>
      </c>
      <c r="J24" s="210">
        <f>SUM(A24:B24)</f>
        <v>0</v>
      </c>
      <c r="K24" s="237" t="str">
        <f t="shared" si="3"/>
        <v/>
      </c>
      <c r="L24" s="201"/>
      <c r="M24" s="324"/>
      <c r="N24" s="324"/>
      <c r="O24" s="324"/>
      <c r="P24" s="77"/>
      <c r="Q24" s="77"/>
      <c r="R24" s="77"/>
      <c r="W24" s="77"/>
    </row>
    <row r="25" spans="1:23" s="76" customFormat="1" ht="19.2" customHeight="1" x14ac:dyDescent="0.25">
      <c r="A25" s="108">
        <v>0</v>
      </c>
      <c r="B25" s="108">
        <v>0</v>
      </c>
      <c r="C25" s="108">
        <v>0</v>
      </c>
      <c r="D25" s="57"/>
      <c r="E25" s="219" t="s">
        <v>43</v>
      </c>
      <c r="F25" s="283" t="s">
        <v>106</v>
      </c>
      <c r="G25" s="283"/>
      <c r="H25" s="283"/>
      <c r="I25" s="55">
        <v>1</v>
      </c>
      <c r="J25" s="210">
        <f t="shared" ref="J25:J29" si="4">SUM(A25:B25)</f>
        <v>0</v>
      </c>
      <c r="K25" s="237" t="str">
        <f t="shared" si="3"/>
        <v/>
      </c>
      <c r="L25" s="201"/>
      <c r="M25" s="324"/>
      <c r="N25" s="324"/>
      <c r="O25" s="324"/>
      <c r="P25" s="77"/>
      <c r="Q25" s="77"/>
      <c r="R25" s="77"/>
      <c r="W25" s="77"/>
    </row>
    <row r="26" spans="1:23" s="76" customFormat="1" ht="19.2" customHeight="1" x14ac:dyDescent="0.25">
      <c r="A26" s="108">
        <v>0</v>
      </c>
      <c r="B26" s="108">
        <v>0</v>
      </c>
      <c r="C26" s="108">
        <v>0</v>
      </c>
      <c r="D26" s="57"/>
      <c r="E26" s="219" t="s">
        <v>100</v>
      </c>
      <c r="F26" s="283" t="s">
        <v>107</v>
      </c>
      <c r="G26" s="283"/>
      <c r="H26" s="283"/>
      <c r="I26" s="55">
        <v>3</v>
      </c>
      <c r="J26" s="210">
        <f t="shared" si="4"/>
        <v>0</v>
      </c>
      <c r="K26" s="237" t="str">
        <f t="shared" si="3"/>
        <v/>
      </c>
      <c r="L26" s="201"/>
      <c r="M26" s="324"/>
      <c r="N26" s="324"/>
      <c r="O26" s="324"/>
      <c r="P26" s="77"/>
      <c r="Q26" s="77"/>
      <c r="R26" s="77"/>
      <c r="W26" s="77"/>
    </row>
    <row r="27" spans="1:23" s="76" customFormat="1" ht="19.2" customHeight="1" x14ac:dyDescent="0.25">
      <c r="A27" s="108">
        <v>0</v>
      </c>
      <c r="B27" s="108">
        <v>0</v>
      </c>
      <c r="C27" s="108">
        <v>0</v>
      </c>
      <c r="D27" s="57"/>
      <c r="E27" s="219" t="s">
        <v>101</v>
      </c>
      <c r="F27" s="283" t="s">
        <v>108</v>
      </c>
      <c r="G27" s="283"/>
      <c r="H27" s="283"/>
      <c r="I27" s="55">
        <v>2</v>
      </c>
      <c r="J27" s="210">
        <f t="shared" si="4"/>
        <v>0</v>
      </c>
      <c r="K27" s="237" t="str">
        <f t="shared" si="3"/>
        <v/>
      </c>
      <c r="L27" s="201"/>
      <c r="M27" s="324"/>
      <c r="N27" s="324"/>
      <c r="O27" s="324"/>
      <c r="P27" s="77"/>
      <c r="Q27" s="77"/>
      <c r="R27" s="77"/>
      <c r="W27" s="77"/>
    </row>
    <row r="28" spans="1:23" s="76" customFormat="1" ht="19.2" customHeight="1" x14ac:dyDescent="0.25">
      <c r="A28" s="108">
        <v>0</v>
      </c>
      <c r="B28" s="108">
        <v>0</v>
      </c>
      <c r="C28" s="108">
        <v>0</v>
      </c>
      <c r="D28" s="57"/>
      <c r="E28" s="219" t="s">
        <v>102</v>
      </c>
      <c r="F28" s="283" t="s">
        <v>42</v>
      </c>
      <c r="G28" s="283"/>
      <c r="H28" s="283"/>
      <c r="I28" s="55">
        <v>2</v>
      </c>
      <c r="J28" s="210">
        <f t="shared" si="4"/>
        <v>0</v>
      </c>
      <c r="K28" s="237" t="str">
        <f t="shared" si="3"/>
        <v/>
      </c>
      <c r="L28" s="201"/>
      <c r="M28" s="324"/>
      <c r="N28" s="324"/>
      <c r="O28" s="324"/>
      <c r="P28" s="77"/>
      <c r="Q28" s="77"/>
      <c r="R28" s="77"/>
      <c r="W28" s="77"/>
    </row>
    <row r="29" spans="1:23" s="76" customFormat="1" ht="19.2" customHeight="1" x14ac:dyDescent="0.25">
      <c r="A29" s="108">
        <v>0</v>
      </c>
      <c r="B29" s="108">
        <v>0</v>
      </c>
      <c r="C29" s="108">
        <v>0</v>
      </c>
      <c r="D29" s="57"/>
      <c r="E29" s="219" t="s">
        <v>103</v>
      </c>
      <c r="F29" s="283" t="s">
        <v>109</v>
      </c>
      <c r="G29" s="283"/>
      <c r="H29" s="283"/>
      <c r="I29" s="55">
        <v>1</v>
      </c>
      <c r="J29" s="210">
        <f t="shared" si="4"/>
        <v>0</v>
      </c>
      <c r="K29" s="237" t="str">
        <f t="shared" si="3"/>
        <v/>
      </c>
      <c r="L29" s="201"/>
      <c r="M29" s="324"/>
      <c r="N29" s="324"/>
      <c r="O29" s="324"/>
      <c r="P29" s="77"/>
      <c r="Q29" s="77"/>
      <c r="R29" s="77"/>
      <c r="W29" s="77"/>
    </row>
    <row r="30" spans="1:23" s="77" customFormat="1" ht="19.2" customHeight="1" x14ac:dyDescent="0.25">
      <c r="A30" s="78"/>
      <c r="B30" s="78"/>
      <c r="C30" s="78"/>
      <c r="D30" s="49"/>
      <c r="E30" s="72"/>
      <c r="F30" s="79"/>
      <c r="G30" s="79"/>
      <c r="H30" s="79"/>
      <c r="I30" s="55"/>
      <c r="J30" s="55"/>
      <c r="K30" s="206"/>
      <c r="L30" s="206"/>
      <c r="M30" s="207"/>
    </row>
    <row r="31" spans="1:23" s="77" customFormat="1" ht="19.2" customHeight="1" x14ac:dyDescent="0.25">
      <c r="A31" s="80"/>
      <c r="B31" s="80"/>
      <c r="C31" s="80"/>
      <c r="D31" s="69"/>
      <c r="E31" s="320" t="s">
        <v>16</v>
      </c>
      <c r="F31" s="320"/>
      <c r="G31" s="320"/>
      <c r="H31" s="321"/>
      <c r="I31" s="213">
        <f>SUM(I34:I35)</f>
        <v>9</v>
      </c>
      <c r="J31" s="213">
        <f>SUM(J34:J35)</f>
        <v>0</v>
      </c>
      <c r="K31" s="206"/>
      <c r="L31" s="206"/>
      <c r="M31" s="207"/>
    </row>
    <row r="32" spans="1:23" ht="19.2" customHeight="1" x14ac:dyDescent="0.25">
      <c r="A32" s="120" t="b">
        <v>0</v>
      </c>
      <c r="B32" s="120" t="b">
        <v>0</v>
      </c>
      <c r="C32" s="120" t="b">
        <v>0</v>
      </c>
      <c r="D32" s="52"/>
      <c r="E32" s="53" t="s">
        <v>44</v>
      </c>
      <c r="F32" s="284" t="s">
        <v>45</v>
      </c>
      <c r="G32" s="284"/>
      <c r="H32" s="284"/>
      <c r="I32" s="304" t="s">
        <v>28</v>
      </c>
      <c r="J32" s="305" t="s">
        <v>28</v>
      </c>
      <c r="L32" s="201"/>
      <c r="M32" s="324"/>
      <c r="N32" s="324"/>
      <c r="O32" s="324"/>
      <c r="P32" s="77"/>
      <c r="Q32" s="77"/>
      <c r="R32" s="77"/>
      <c r="S32" s="77"/>
      <c r="T32" s="77"/>
      <c r="U32" s="77"/>
      <c r="V32" s="77"/>
      <c r="W32" s="77"/>
    </row>
    <row r="33" spans="1:23" ht="19.2" customHeight="1" x14ac:dyDescent="0.25">
      <c r="A33" s="221" t="b">
        <v>0</v>
      </c>
      <c r="B33" s="221" t="b">
        <v>0</v>
      </c>
      <c r="C33" s="221" t="b">
        <v>0</v>
      </c>
      <c r="D33" s="222"/>
      <c r="E33" s="223" t="s">
        <v>110</v>
      </c>
      <c r="F33" s="284" t="s">
        <v>111</v>
      </c>
      <c r="G33" s="284"/>
      <c r="H33" s="284"/>
      <c r="I33" s="304" t="s">
        <v>28</v>
      </c>
      <c r="J33" s="305" t="s">
        <v>28</v>
      </c>
      <c r="L33" s="201"/>
      <c r="M33" s="324"/>
      <c r="N33" s="324"/>
      <c r="O33" s="324"/>
      <c r="P33" s="77"/>
      <c r="Q33" s="77"/>
      <c r="R33" s="77"/>
      <c r="S33" s="77"/>
      <c r="T33" s="77"/>
      <c r="U33" s="77"/>
      <c r="V33" s="77"/>
      <c r="W33" s="77"/>
    </row>
    <row r="34" spans="1:23" s="76" customFormat="1" ht="19.2" customHeight="1" x14ac:dyDescent="0.25">
      <c r="A34" s="108">
        <v>0</v>
      </c>
      <c r="B34" s="108">
        <v>0</v>
      </c>
      <c r="C34" s="108">
        <v>0</v>
      </c>
      <c r="D34" s="57"/>
      <c r="E34" s="72" t="s">
        <v>46</v>
      </c>
      <c r="F34" s="306" t="s">
        <v>112</v>
      </c>
      <c r="G34" s="306"/>
      <c r="H34" s="306"/>
      <c r="I34" s="55">
        <v>1</v>
      </c>
      <c r="J34" s="210">
        <f>SUM(A34:B34)</f>
        <v>0</v>
      </c>
      <c r="K34" s="237" t="str">
        <f>IF(J34&gt;I34,"⚠","")</f>
        <v/>
      </c>
      <c r="L34" s="201"/>
      <c r="M34" s="324"/>
      <c r="N34" s="324"/>
      <c r="O34" s="324"/>
      <c r="P34" s="77"/>
      <c r="Q34" s="77"/>
      <c r="R34" s="77"/>
      <c r="S34" s="77"/>
      <c r="T34" s="77"/>
      <c r="U34" s="77"/>
      <c r="V34" s="77"/>
      <c r="W34" s="77"/>
    </row>
    <row r="35" spans="1:23" s="77" customFormat="1" ht="19.2" customHeight="1" x14ac:dyDescent="0.25">
      <c r="A35" s="108">
        <v>0</v>
      </c>
      <c r="B35" s="108">
        <v>0</v>
      </c>
      <c r="C35" s="108">
        <v>0</v>
      </c>
      <c r="D35" s="57"/>
      <c r="E35" s="72" t="s">
        <v>47</v>
      </c>
      <c r="F35" s="301" t="s">
        <v>113</v>
      </c>
      <c r="G35" s="302"/>
      <c r="H35" s="303"/>
      <c r="I35" s="55">
        <v>8</v>
      </c>
      <c r="J35" s="210">
        <f>SUM(A35:B35)</f>
        <v>0</v>
      </c>
      <c r="K35" s="237" t="str">
        <f t="shared" ref="K35" si="5">IF(J35&gt;I35,"⚠","")</f>
        <v/>
      </c>
      <c r="L35" s="201"/>
      <c r="M35" s="324"/>
      <c r="N35" s="324"/>
      <c r="O35" s="324"/>
    </row>
    <row r="36" spans="1:23" s="77" customFormat="1" ht="19.2" customHeight="1" x14ac:dyDescent="0.25">
      <c r="A36" s="75"/>
      <c r="B36" s="75"/>
      <c r="C36" s="75"/>
      <c r="D36" s="57"/>
      <c r="E36" s="81"/>
      <c r="F36" s="79"/>
      <c r="G36" s="79"/>
      <c r="H36" s="79"/>
      <c r="I36" s="55"/>
      <c r="J36" s="55"/>
      <c r="K36" s="206"/>
      <c r="L36" s="206"/>
      <c r="M36" s="207"/>
    </row>
    <row r="37" spans="1:23" s="77" customFormat="1" ht="19.2" customHeight="1" x14ac:dyDescent="0.25">
      <c r="A37" s="82"/>
      <c r="B37" s="82"/>
      <c r="C37" s="82"/>
      <c r="D37" s="83"/>
      <c r="E37" s="312" t="s">
        <v>17</v>
      </c>
      <c r="F37" s="312"/>
      <c r="G37" s="312"/>
      <c r="H37" s="313"/>
      <c r="I37" s="214">
        <f>SUM(I43:I49)</f>
        <v>33</v>
      </c>
      <c r="J37" s="214">
        <f>SUM(J43:J49)</f>
        <v>0</v>
      </c>
      <c r="K37" s="206"/>
      <c r="L37" s="206"/>
      <c r="M37" s="207"/>
    </row>
    <row r="38" spans="1:23" ht="19.2" customHeight="1" x14ac:dyDescent="0.25">
      <c r="A38" s="120" t="b">
        <v>0</v>
      </c>
      <c r="B38" s="120" t="b">
        <v>0</v>
      </c>
      <c r="C38" s="120" t="b">
        <v>0</v>
      </c>
      <c r="D38" s="52"/>
      <c r="E38" s="53" t="s">
        <v>48</v>
      </c>
      <c r="F38" s="284" t="s">
        <v>115</v>
      </c>
      <c r="G38" s="284"/>
      <c r="H38" s="284"/>
      <c r="I38" s="304" t="s">
        <v>28</v>
      </c>
      <c r="J38" s="305" t="s">
        <v>28</v>
      </c>
      <c r="K38" s="238"/>
      <c r="L38" s="201"/>
      <c r="M38" s="324"/>
      <c r="N38" s="324"/>
      <c r="O38" s="324"/>
      <c r="P38" s="77"/>
      <c r="Q38" s="77"/>
      <c r="R38" s="77"/>
      <c r="S38" s="77"/>
      <c r="T38" s="77"/>
      <c r="U38" s="77"/>
      <c r="V38" s="77"/>
      <c r="W38" s="77"/>
    </row>
    <row r="39" spans="1:23" s="76" customFormat="1" ht="19.2" customHeight="1" x14ac:dyDescent="0.25">
      <c r="A39" s="120" t="b">
        <v>0</v>
      </c>
      <c r="B39" s="120" t="b">
        <v>0</v>
      </c>
      <c r="C39" s="120" t="b">
        <v>0</v>
      </c>
      <c r="D39" s="52"/>
      <c r="E39" s="53" t="s">
        <v>49</v>
      </c>
      <c r="F39" s="284" t="s">
        <v>116</v>
      </c>
      <c r="G39" s="284"/>
      <c r="H39" s="284"/>
      <c r="I39" s="304" t="s">
        <v>28</v>
      </c>
      <c r="J39" s="305" t="s">
        <v>28</v>
      </c>
      <c r="K39" s="238"/>
      <c r="L39" s="201"/>
      <c r="M39" s="324"/>
      <c r="N39" s="324"/>
      <c r="O39" s="324"/>
      <c r="P39" s="77"/>
      <c r="Q39" s="77"/>
      <c r="R39" s="77"/>
      <c r="S39" s="77"/>
      <c r="T39" s="77"/>
      <c r="U39" s="77"/>
      <c r="V39" s="77"/>
      <c r="W39" s="77"/>
    </row>
    <row r="40" spans="1:23" s="77" customFormat="1" ht="19.2" customHeight="1" x14ac:dyDescent="0.25">
      <c r="A40" s="120" t="b">
        <v>0</v>
      </c>
      <c r="B40" s="120" t="b">
        <v>0</v>
      </c>
      <c r="C40" s="120" t="b">
        <v>0</v>
      </c>
      <c r="D40" s="52"/>
      <c r="E40" s="53" t="s">
        <v>50</v>
      </c>
      <c r="F40" s="284" t="s">
        <v>117</v>
      </c>
      <c r="G40" s="284"/>
      <c r="H40" s="284"/>
      <c r="I40" s="304" t="s">
        <v>28</v>
      </c>
      <c r="J40" s="305" t="s">
        <v>28</v>
      </c>
      <c r="K40" s="238"/>
      <c r="L40" s="201"/>
      <c r="M40" s="324"/>
      <c r="N40" s="324"/>
      <c r="O40" s="324"/>
    </row>
    <row r="41" spans="1:23" s="77" customFormat="1" ht="19.2" customHeight="1" x14ac:dyDescent="0.25">
      <c r="A41" s="120" t="b">
        <v>0</v>
      </c>
      <c r="B41" s="120" t="b">
        <v>0</v>
      </c>
      <c r="C41" s="120" t="b">
        <v>0</v>
      </c>
      <c r="D41" s="52"/>
      <c r="E41" s="218" t="s">
        <v>51</v>
      </c>
      <c r="F41" s="284" t="s">
        <v>118</v>
      </c>
      <c r="G41" s="284"/>
      <c r="H41" s="284"/>
      <c r="I41" s="304" t="s">
        <v>28</v>
      </c>
      <c r="J41" s="305" t="s">
        <v>28</v>
      </c>
      <c r="K41" s="238"/>
      <c r="L41" s="201"/>
      <c r="M41" s="324"/>
      <c r="N41" s="324"/>
      <c r="O41" s="324"/>
    </row>
    <row r="42" spans="1:23" s="77" customFormat="1" ht="19.2" customHeight="1" x14ac:dyDescent="0.25">
      <c r="A42" s="120" t="b">
        <v>0</v>
      </c>
      <c r="B42" s="120" t="b">
        <v>0</v>
      </c>
      <c r="C42" s="120" t="b">
        <v>0</v>
      </c>
      <c r="D42" s="52"/>
      <c r="E42" s="53" t="s">
        <v>114</v>
      </c>
      <c r="F42" s="284" t="s">
        <v>52</v>
      </c>
      <c r="G42" s="284"/>
      <c r="H42" s="284"/>
      <c r="I42" s="304" t="s">
        <v>28</v>
      </c>
      <c r="J42" s="305" t="s">
        <v>28</v>
      </c>
      <c r="K42" s="238"/>
      <c r="L42" s="201"/>
      <c r="M42" s="324"/>
      <c r="N42" s="324"/>
      <c r="O42" s="324"/>
    </row>
    <row r="43" spans="1:23" s="77" customFormat="1" ht="19.2" customHeight="1" x14ac:dyDescent="0.25">
      <c r="A43" s="108">
        <v>0</v>
      </c>
      <c r="B43" s="108">
        <v>0</v>
      </c>
      <c r="C43" s="108">
        <v>0</v>
      </c>
      <c r="D43" s="84"/>
      <c r="E43" s="85" t="s">
        <v>53</v>
      </c>
      <c r="F43" s="325" t="s">
        <v>119</v>
      </c>
      <c r="G43" s="326"/>
      <c r="H43" s="327"/>
      <c r="I43" s="86">
        <v>5</v>
      </c>
      <c r="J43" s="210">
        <f t="shared" ref="J43:J49" si="6">SUM(A43:B43)</f>
        <v>0</v>
      </c>
      <c r="K43" s="237" t="str">
        <f t="shared" ref="K43:K49" si="7">IF(J43&gt;I43,"⚠","")</f>
        <v/>
      </c>
      <c r="L43" s="201"/>
      <c r="M43" s="324"/>
      <c r="N43" s="324"/>
      <c r="O43" s="324"/>
    </row>
    <row r="44" spans="1:23" s="77" customFormat="1" ht="19.2" customHeight="1" x14ac:dyDescent="0.25">
      <c r="A44" s="108">
        <v>0</v>
      </c>
      <c r="B44" s="108">
        <v>0</v>
      </c>
      <c r="C44" s="108">
        <v>0</v>
      </c>
      <c r="D44" s="57"/>
      <c r="E44" s="87" t="s">
        <v>54</v>
      </c>
      <c r="F44" s="298" t="s">
        <v>120</v>
      </c>
      <c r="G44" s="299"/>
      <c r="H44" s="300"/>
      <c r="I44" s="88">
        <v>5</v>
      </c>
      <c r="J44" s="210">
        <f t="shared" si="6"/>
        <v>0</v>
      </c>
      <c r="K44" s="237" t="str">
        <f t="shared" si="7"/>
        <v/>
      </c>
      <c r="L44" s="201"/>
      <c r="M44" s="324"/>
      <c r="N44" s="324"/>
      <c r="O44" s="324"/>
    </row>
    <row r="45" spans="1:23" s="77" customFormat="1" ht="19.2" customHeight="1" x14ac:dyDescent="0.25">
      <c r="A45" s="108">
        <v>0</v>
      </c>
      <c r="B45" s="108">
        <v>0</v>
      </c>
      <c r="C45" s="108">
        <v>0</v>
      </c>
      <c r="D45" s="57"/>
      <c r="E45" s="87" t="s">
        <v>55</v>
      </c>
      <c r="F45" s="286" t="s">
        <v>121</v>
      </c>
      <c r="G45" s="287"/>
      <c r="H45" s="287"/>
      <c r="I45" s="89">
        <v>10</v>
      </c>
      <c r="J45" s="210">
        <f t="shared" si="6"/>
        <v>0</v>
      </c>
      <c r="K45" s="237" t="str">
        <f t="shared" si="7"/>
        <v/>
      </c>
      <c r="L45" s="201"/>
      <c r="M45" s="324"/>
      <c r="N45" s="324"/>
      <c r="O45" s="324"/>
    </row>
    <row r="46" spans="1:23" s="77" customFormat="1" ht="19.2" customHeight="1" x14ac:dyDescent="0.25">
      <c r="A46" s="108">
        <v>0</v>
      </c>
      <c r="B46" s="108">
        <v>0</v>
      </c>
      <c r="C46" s="108">
        <v>0</v>
      </c>
      <c r="D46" s="49"/>
      <c r="E46" s="87" t="s">
        <v>56</v>
      </c>
      <c r="F46" s="292" t="s">
        <v>122</v>
      </c>
      <c r="G46" s="293"/>
      <c r="H46" s="294"/>
      <c r="I46" s="89">
        <v>5</v>
      </c>
      <c r="J46" s="210">
        <f t="shared" si="6"/>
        <v>0</v>
      </c>
      <c r="K46" s="237" t="str">
        <f t="shared" si="7"/>
        <v/>
      </c>
      <c r="L46" s="201"/>
      <c r="M46" s="324"/>
      <c r="N46" s="324"/>
      <c r="O46" s="324"/>
    </row>
    <row r="47" spans="1:23" s="77" customFormat="1" ht="19.2" customHeight="1" x14ac:dyDescent="0.25">
      <c r="A47" s="108">
        <v>0</v>
      </c>
      <c r="B47" s="108">
        <v>0</v>
      </c>
      <c r="C47" s="108">
        <v>0</v>
      </c>
      <c r="D47" s="90"/>
      <c r="E47" s="87" t="s">
        <v>57</v>
      </c>
      <c r="F47" s="292" t="s">
        <v>123</v>
      </c>
      <c r="G47" s="293"/>
      <c r="H47" s="294"/>
      <c r="I47" s="89">
        <v>4</v>
      </c>
      <c r="J47" s="210">
        <f t="shared" si="6"/>
        <v>0</v>
      </c>
      <c r="K47" s="237" t="str">
        <f t="shared" si="7"/>
        <v/>
      </c>
      <c r="L47" s="201"/>
      <c r="M47" s="324"/>
      <c r="N47" s="324"/>
      <c r="O47" s="324"/>
    </row>
    <row r="48" spans="1:23" s="77" customFormat="1" ht="19.2" customHeight="1" x14ac:dyDescent="0.25">
      <c r="A48" s="108">
        <v>0</v>
      </c>
      <c r="B48" s="108">
        <v>0</v>
      </c>
      <c r="C48" s="108">
        <v>0</v>
      </c>
      <c r="D48" s="57"/>
      <c r="E48" s="87" t="s">
        <v>58</v>
      </c>
      <c r="F48" s="295" t="s">
        <v>124</v>
      </c>
      <c r="G48" s="296"/>
      <c r="H48" s="297"/>
      <c r="I48" s="89">
        <v>2</v>
      </c>
      <c r="J48" s="210">
        <f t="shared" si="6"/>
        <v>0</v>
      </c>
      <c r="K48" s="237" t="str">
        <f t="shared" si="7"/>
        <v/>
      </c>
      <c r="L48" s="201"/>
      <c r="M48" s="324"/>
      <c r="N48" s="324"/>
      <c r="O48" s="324"/>
    </row>
    <row r="49" spans="1:15" s="77" customFormat="1" ht="19.2" customHeight="1" x14ac:dyDescent="0.25">
      <c r="A49" s="108">
        <v>0</v>
      </c>
      <c r="B49" s="108">
        <v>0</v>
      </c>
      <c r="C49" s="108">
        <v>0</v>
      </c>
      <c r="D49" s="57"/>
      <c r="E49" s="87" t="s">
        <v>59</v>
      </c>
      <c r="F49" s="295" t="s">
        <v>125</v>
      </c>
      <c r="G49" s="296"/>
      <c r="H49" s="297"/>
      <c r="I49" s="89">
        <v>2</v>
      </c>
      <c r="J49" s="210">
        <f t="shared" si="6"/>
        <v>0</v>
      </c>
      <c r="K49" s="237" t="str">
        <f t="shared" si="7"/>
        <v/>
      </c>
      <c r="L49" s="201"/>
      <c r="M49" s="324"/>
      <c r="N49" s="324"/>
      <c r="O49" s="324"/>
    </row>
    <row r="50" spans="1:15" s="77" customFormat="1" ht="19.2" customHeight="1" x14ac:dyDescent="0.25">
      <c r="A50" s="75"/>
      <c r="B50" s="75"/>
      <c r="C50" s="75"/>
      <c r="D50" s="57"/>
      <c r="E50" s="91"/>
      <c r="F50" s="92"/>
      <c r="G50" s="92"/>
      <c r="H50" s="92"/>
      <c r="I50" s="93"/>
      <c r="J50" s="93"/>
      <c r="K50" s="202"/>
      <c r="L50" s="202"/>
      <c r="M50" s="203"/>
    </row>
    <row r="51" spans="1:15" s="77" customFormat="1" ht="19.2" customHeight="1" x14ac:dyDescent="0.25">
      <c r="A51" s="75"/>
      <c r="B51" s="75"/>
      <c r="C51" s="75"/>
      <c r="D51" s="57"/>
      <c r="E51" s="288" t="s">
        <v>18</v>
      </c>
      <c r="F51" s="288"/>
      <c r="G51" s="288"/>
      <c r="H51" s="289"/>
      <c r="I51" s="215">
        <f>SUM(I54:I58)</f>
        <v>18</v>
      </c>
      <c r="J51" s="215">
        <f>SUM(J54:J58)</f>
        <v>0</v>
      </c>
      <c r="K51" s="206"/>
      <c r="L51" s="206"/>
      <c r="M51" s="207"/>
    </row>
    <row r="52" spans="1:15" s="77" customFormat="1" ht="19.2" customHeight="1" x14ac:dyDescent="0.25">
      <c r="A52" s="120" t="b">
        <v>0</v>
      </c>
      <c r="B52" s="120" t="b">
        <v>0</v>
      </c>
      <c r="C52" s="120" t="b">
        <v>0</v>
      </c>
      <c r="D52" s="52"/>
      <c r="E52" s="218" t="s">
        <v>126</v>
      </c>
      <c r="F52" s="284" t="s">
        <v>131</v>
      </c>
      <c r="G52" s="284"/>
      <c r="H52" s="284"/>
      <c r="I52" s="304" t="s">
        <v>28</v>
      </c>
      <c r="J52" s="305" t="s">
        <v>28</v>
      </c>
      <c r="K52" s="238"/>
      <c r="L52" s="201"/>
      <c r="M52" s="324"/>
      <c r="N52" s="324"/>
      <c r="O52" s="324"/>
    </row>
    <row r="53" spans="1:15" s="77" customFormat="1" ht="19.2" customHeight="1" x14ac:dyDescent="0.25">
      <c r="A53" s="120" t="b">
        <v>0</v>
      </c>
      <c r="B53" s="120" t="b">
        <v>0</v>
      </c>
      <c r="C53" s="120" t="b">
        <v>0</v>
      </c>
      <c r="D53" s="52"/>
      <c r="E53" s="218" t="s">
        <v>127</v>
      </c>
      <c r="F53" s="284" t="s">
        <v>132</v>
      </c>
      <c r="G53" s="284"/>
      <c r="H53" s="284"/>
      <c r="I53" s="304" t="s">
        <v>28</v>
      </c>
      <c r="J53" s="305" t="s">
        <v>28</v>
      </c>
      <c r="K53" s="238"/>
      <c r="L53" s="201"/>
      <c r="M53" s="324"/>
      <c r="N53" s="324"/>
      <c r="O53" s="324"/>
    </row>
    <row r="54" spans="1:15" s="65" customFormat="1" ht="19.2" customHeight="1" x14ac:dyDescent="0.25">
      <c r="A54" s="108">
        <v>0</v>
      </c>
      <c r="B54" s="108">
        <v>0</v>
      </c>
      <c r="C54" s="108">
        <v>0</v>
      </c>
      <c r="D54" s="57"/>
      <c r="E54" s="72" t="s">
        <v>60</v>
      </c>
      <c r="F54" s="298" t="s">
        <v>133</v>
      </c>
      <c r="G54" s="299"/>
      <c r="H54" s="300"/>
      <c r="I54" s="55">
        <v>3</v>
      </c>
      <c r="J54" s="210">
        <f>SUM(A54:B54)</f>
        <v>0</v>
      </c>
      <c r="K54" s="237" t="str">
        <f t="shared" ref="K54:K58" si="8">IF(J54&gt;I54,"⚠","")</f>
        <v/>
      </c>
      <c r="L54" s="201"/>
      <c r="M54" s="324"/>
      <c r="N54" s="324"/>
      <c r="O54" s="324"/>
    </row>
    <row r="55" spans="1:15" s="65" customFormat="1" ht="19.2" customHeight="1" x14ac:dyDescent="0.25">
      <c r="A55" s="108">
        <v>0</v>
      </c>
      <c r="B55" s="108">
        <v>0</v>
      </c>
      <c r="C55" s="108">
        <v>0</v>
      </c>
      <c r="D55" s="57"/>
      <c r="E55" s="219" t="s">
        <v>61</v>
      </c>
      <c r="F55" s="298" t="s">
        <v>134</v>
      </c>
      <c r="G55" s="299"/>
      <c r="H55" s="300"/>
      <c r="I55" s="55">
        <v>6</v>
      </c>
      <c r="J55" s="210">
        <f t="shared" ref="J55:J58" si="9">SUM(A55:B55)</f>
        <v>0</v>
      </c>
      <c r="K55" s="237" t="str">
        <f t="shared" si="8"/>
        <v/>
      </c>
      <c r="L55" s="201"/>
      <c r="M55" s="324"/>
      <c r="N55" s="324"/>
      <c r="O55" s="324"/>
    </row>
    <row r="56" spans="1:15" s="65" customFormat="1" ht="19.2" customHeight="1" x14ac:dyDescent="0.25">
      <c r="A56" s="108">
        <v>0</v>
      </c>
      <c r="B56" s="108">
        <v>0</v>
      </c>
      <c r="C56" s="108">
        <v>0</v>
      </c>
      <c r="D56" s="57"/>
      <c r="E56" s="219" t="s">
        <v>128</v>
      </c>
      <c r="F56" s="298" t="s">
        <v>135</v>
      </c>
      <c r="G56" s="299"/>
      <c r="H56" s="300"/>
      <c r="I56" s="55">
        <v>2</v>
      </c>
      <c r="J56" s="210">
        <f t="shared" si="9"/>
        <v>0</v>
      </c>
      <c r="K56" s="237" t="str">
        <f t="shared" si="8"/>
        <v/>
      </c>
      <c r="L56" s="201"/>
      <c r="M56" s="324"/>
      <c r="N56" s="324"/>
      <c r="O56" s="324"/>
    </row>
    <row r="57" spans="1:15" s="65" customFormat="1" ht="19.2" customHeight="1" x14ac:dyDescent="0.25">
      <c r="A57" s="108">
        <v>0</v>
      </c>
      <c r="B57" s="108">
        <v>0</v>
      </c>
      <c r="C57" s="108">
        <v>0</v>
      </c>
      <c r="D57" s="57"/>
      <c r="E57" s="219" t="s">
        <v>129</v>
      </c>
      <c r="F57" s="298" t="s">
        <v>136</v>
      </c>
      <c r="G57" s="299"/>
      <c r="H57" s="300"/>
      <c r="I57" s="55">
        <v>5</v>
      </c>
      <c r="J57" s="210">
        <f t="shared" si="9"/>
        <v>0</v>
      </c>
      <c r="K57" s="237" t="str">
        <f t="shared" si="8"/>
        <v/>
      </c>
      <c r="L57" s="201"/>
      <c r="M57" s="324"/>
      <c r="N57" s="324"/>
      <c r="O57" s="324"/>
    </row>
    <row r="58" spans="1:15" s="76" customFormat="1" ht="19.2" customHeight="1" x14ac:dyDescent="0.25">
      <c r="A58" s="108">
        <v>0</v>
      </c>
      <c r="B58" s="108">
        <v>0</v>
      </c>
      <c r="C58" s="108">
        <v>0</v>
      </c>
      <c r="D58" s="57"/>
      <c r="E58" s="72" t="s">
        <v>130</v>
      </c>
      <c r="F58" s="298" t="s">
        <v>137</v>
      </c>
      <c r="G58" s="299"/>
      <c r="H58" s="300"/>
      <c r="I58" s="55">
        <v>2</v>
      </c>
      <c r="J58" s="210">
        <f t="shared" si="9"/>
        <v>0</v>
      </c>
      <c r="K58" s="237" t="str">
        <f t="shared" si="8"/>
        <v/>
      </c>
      <c r="L58" s="201"/>
      <c r="M58" s="324"/>
      <c r="N58" s="324"/>
      <c r="O58" s="324"/>
    </row>
    <row r="59" spans="1:15" s="94" customFormat="1" ht="19.2" customHeight="1" x14ac:dyDescent="0.25">
      <c r="A59" s="75"/>
      <c r="B59" s="75"/>
      <c r="C59" s="75"/>
      <c r="D59" s="57"/>
      <c r="E59" s="95"/>
      <c r="F59" s="96"/>
      <c r="G59" s="96"/>
      <c r="H59" s="96"/>
      <c r="I59" s="96"/>
      <c r="J59" s="96"/>
      <c r="K59" s="202"/>
      <c r="L59" s="202"/>
      <c r="M59" s="203"/>
      <c r="N59" s="77"/>
    </row>
    <row r="60" spans="1:15" s="94" customFormat="1" ht="19.2" customHeight="1" x14ac:dyDescent="0.25">
      <c r="A60" s="82"/>
      <c r="B60" s="82"/>
      <c r="C60" s="82"/>
      <c r="D60" s="57"/>
      <c r="E60" s="290" t="s">
        <v>19</v>
      </c>
      <c r="F60" s="290"/>
      <c r="G60" s="290"/>
      <c r="H60" s="291"/>
      <c r="I60" s="216">
        <f>SUM(I64:I68)</f>
        <v>13</v>
      </c>
      <c r="J60" s="216">
        <f>SUM(J64:J68)</f>
        <v>0</v>
      </c>
      <c r="K60" s="206"/>
      <c r="L60" s="206"/>
      <c r="M60" s="207"/>
      <c r="N60" s="77"/>
    </row>
    <row r="61" spans="1:15" s="65" customFormat="1" ht="19.2" customHeight="1" x14ac:dyDescent="0.25">
      <c r="A61" s="120" t="b">
        <v>0</v>
      </c>
      <c r="B61" s="120" t="b">
        <v>0</v>
      </c>
      <c r="C61" s="120" t="b">
        <v>0</v>
      </c>
      <c r="D61" s="52"/>
      <c r="E61" s="53" t="s">
        <v>62</v>
      </c>
      <c r="F61" s="284" t="s">
        <v>139</v>
      </c>
      <c r="G61" s="284"/>
      <c r="H61" s="284"/>
      <c r="I61" s="304" t="s">
        <v>28</v>
      </c>
      <c r="J61" s="305" t="s">
        <v>28</v>
      </c>
      <c r="K61" s="202"/>
      <c r="L61" s="201"/>
      <c r="M61" s="324"/>
      <c r="N61" s="324"/>
      <c r="O61" s="324"/>
    </row>
    <row r="62" spans="1:15" s="65" customFormat="1" ht="19.2" customHeight="1" x14ac:dyDescent="0.25">
      <c r="A62" s="120" t="b">
        <v>0</v>
      </c>
      <c r="B62" s="120" t="b">
        <v>0</v>
      </c>
      <c r="C62" s="120" t="b">
        <v>0</v>
      </c>
      <c r="D62" s="52"/>
      <c r="E62" s="218" t="s">
        <v>63</v>
      </c>
      <c r="F62" s="284" t="s">
        <v>140</v>
      </c>
      <c r="G62" s="284"/>
      <c r="H62" s="284"/>
      <c r="I62" s="304" t="s">
        <v>28</v>
      </c>
      <c r="J62" s="305" t="s">
        <v>28</v>
      </c>
      <c r="K62" s="202"/>
      <c r="L62" s="201"/>
      <c r="M62" s="324"/>
      <c r="N62" s="324"/>
      <c r="O62" s="324"/>
    </row>
    <row r="63" spans="1:15" s="76" customFormat="1" ht="19.2" customHeight="1" x14ac:dyDescent="0.25">
      <c r="A63" s="120" t="b">
        <v>0</v>
      </c>
      <c r="B63" s="120" t="b">
        <v>0</v>
      </c>
      <c r="C63" s="120" t="b">
        <v>0</v>
      </c>
      <c r="D63" s="52"/>
      <c r="E63" s="53" t="s">
        <v>138</v>
      </c>
      <c r="F63" s="284" t="s">
        <v>141</v>
      </c>
      <c r="G63" s="284"/>
      <c r="H63" s="284"/>
      <c r="I63" s="304" t="s">
        <v>28</v>
      </c>
      <c r="J63" s="305" t="s">
        <v>28</v>
      </c>
      <c r="K63" s="202"/>
      <c r="L63" s="201"/>
      <c r="M63" s="324"/>
      <c r="N63" s="324"/>
      <c r="O63" s="324"/>
    </row>
    <row r="64" spans="1:15" s="94" customFormat="1" ht="19.2" customHeight="1" x14ac:dyDescent="0.25">
      <c r="A64" s="108">
        <v>0</v>
      </c>
      <c r="B64" s="108">
        <v>0</v>
      </c>
      <c r="C64" s="108">
        <v>0</v>
      </c>
      <c r="D64" s="57"/>
      <c r="E64" s="72" t="s">
        <v>64</v>
      </c>
      <c r="F64" s="306" t="s">
        <v>142</v>
      </c>
      <c r="G64" s="306"/>
      <c r="H64" s="306"/>
      <c r="I64" s="55">
        <v>1</v>
      </c>
      <c r="J64" s="210">
        <f t="shared" ref="J64:J68" si="10">SUM(A64:B64)</f>
        <v>0</v>
      </c>
      <c r="K64" s="237" t="str">
        <f t="shared" ref="K64:K68" si="11">IF(J64&gt;I64,"⚠","")</f>
        <v/>
      </c>
      <c r="L64" s="201"/>
      <c r="M64" s="324"/>
      <c r="N64" s="324"/>
      <c r="O64" s="324"/>
    </row>
    <row r="65" spans="1:20" s="94" customFormat="1" ht="19.2" customHeight="1" x14ac:dyDescent="0.25">
      <c r="A65" s="108">
        <v>0</v>
      </c>
      <c r="B65" s="108">
        <v>0</v>
      </c>
      <c r="C65" s="108">
        <v>0</v>
      </c>
      <c r="D65" s="57"/>
      <c r="E65" s="72" t="s">
        <v>65</v>
      </c>
      <c r="F65" s="301" t="s">
        <v>143</v>
      </c>
      <c r="G65" s="302"/>
      <c r="H65" s="303"/>
      <c r="I65" s="55">
        <v>7</v>
      </c>
      <c r="J65" s="210">
        <f t="shared" si="10"/>
        <v>0</v>
      </c>
      <c r="K65" s="237" t="str">
        <f t="shared" si="11"/>
        <v/>
      </c>
      <c r="L65" s="201"/>
      <c r="M65" s="324"/>
      <c r="N65" s="324"/>
      <c r="O65" s="324"/>
    </row>
    <row r="66" spans="1:20" s="94" customFormat="1" ht="19.2" customHeight="1" x14ac:dyDescent="0.25">
      <c r="A66" s="108">
        <v>0</v>
      </c>
      <c r="B66" s="108">
        <v>0</v>
      </c>
      <c r="C66" s="108">
        <v>0</v>
      </c>
      <c r="D66" s="57"/>
      <c r="E66" s="72" t="s">
        <v>66</v>
      </c>
      <c r="F66" s="301" t="s">
        <v>144</v>
      </c>
      <c r="G66" s="302"/>
      <c r="H66" s="303"/>
      <c r="I66" s="55">
        <v>1</v>
      </c>
      <c r="J66" s="210">
        <f t="shared" si="10"/>
        <v>0</v>
      </c>
      <c r="K66" s="237" t="str">
        <f t="shared" si="11"/>
        <v/>
      </c>
      <c r="L66" s="201"/>
      <c r="M66" s="324"/>
      <c r="N66" s="324"/>
      <c r="O66" s="324"/>
    </row>
    <row r="67" spans="1:20" s="94" customFormat="1" ht="19.2" customHeight="1" x14ac:dyDescent="0.25">
      <c r="A67" s="108">
        <v>0</v>
      </c>
      <c r="B67" s="108">
        <v>0</v>
      </c>
      <c r="C67" s="108">
        <v>0</v>
      </c>
      <c r="D67" s="57"/>
      <c r="E67" s="72" t="s">
        <v>67</v>
      </c>
      <c r="F67" s="301" t="s">
        <v>69</v>
      </c>
      <c r="G67" s="302"/>
      <c r="H67" s="303"/>
      <c r="I67" s="55">
        <v>2</v>
      </c>
      <c r="J67" s="210">
        <f t="shared" si="10"/>
        <v>0</v>
      </c>
      <c r="K67" s="237" t="str">
        <f t="shared" si="11"/>
        <v/>
      </c>
      <c r="L67" s="201"/>
      <c r="M67" s="324"/>
      <c r="N67" s="324"/>
      <c r="O67" s="324"/>
    </row>
    <row r="68" spans="1:20" s="94" customFormat="1" ht="19.2" customHeight="1" x14ac:dyDescent="0.25">
      <c r="A68" s="108">
        <v>0</v>
      </c>
      <c r="B68" s="108">
        <v>0</v>
      </c>
      <c r="C68" s="108">
        <v>0</v>
      </c>
      <c r="D68" s="57"/>
      <c r="E68" s="72" t="s">
        <v>68</v>
      </c>
      <c r="F68" s="301" t="s">
        <v>145</v>
      </c>
      <c r="G68" s="302"/>
      <c r="H68" s="303"/>
      <c r="I68" s="55">
        <v>2</v>
      </c>
      <c r="J68" s="210">
        <f t="shared" si="10"/>
        <v>0</v>
      </c>
      <c r="K68" s="237" t="str">
        <f t="shared" si="11"/>
        <v/>
      </c>
      <c r="L68" s="201"/>
      <c r="M68" s="324"/>
      <c r="N68" s="324"/>
      <c r="O68" s="324"/>
    </row>
    <row r="69" spans="1:20" s="94" customFormat="1" ht="19.2" customHeight="1" x14ac:dyDescent="0.25">
      <c r="A69" s="78"/>
      <c r="B69" s="78"/>
      <c r="C69" s="78"/>
      <c r="D69" s="49"/>
      <c r="E69" s="97"/>
      <c r="F69" s="98"/>
      <c r="G69" s="98"/>
      <c r="H69" s="99"/>
      <c r="I69" s="100"/>
      <c r="J69" s="100"/>
      <c r="K69" s="202"/>
      <c r="L69" s="202"/>
      <c r="M69" s="203"/>
      <c r="N69" s="77"/>
      <c r="S69" s="76"/>
      <c r="T69" s="76"/>
    </row>
    <row r="70" spans="1:20" s="94" customFormat="1" ht="19.2" customHeight="1" x14ac:dyDescent="0.25">
      <c r="A70" s="75"/>
      <c r="B70" s="75"/>
      <c r="C70" s="75"/>
      <c r="D70" s="57"/>
      <c r="E70" s="322" t="s">
        <v>20</v>
      </c>
      <c r="F70" s="322"/>
      <c r="G70" s="322"/>
      <c r="H70" s="323"/>
      <c r="I70" s="101">
        <f>SUM(I71:I81)</f>
        <v>10</v>
      </c>
      <c r="J70" s="101">
        <f>SUM(J71:J81)</f>
        <v>0</v>
      </c>
      <c r="K70" s="206"/>
      <c r="L70" s="206"/>
      <c r="M70" s="207"/>
      <c r="N70" s="77"/>
      <c r="S70" s="76"/>
      <c r="T70" s="76"/>
    </row>
    <row r="71" spans="1:20" s="65" customFormat="1" ht="19.2" customHeight="1" x14ac:dyDescent="0.25">
      <c r="A71" s="108"/>
      <c r="B71" s="108"/>
      <c r="C71" s="108"/>
      <c r="D71" s="57"/>
      <c r="E71" s="87" t="s">
        <v>70</v>
      </c>
      <c r="F71" s="301" t="s">
        <v>71</v>
      </c>
      <c r="G71" s="302"/>
      <c r="H71" s="303"/>
      <c r="I71" s="88">
        <v>9</v>
      </c>
      <c r="J71" s="210">
        <f>SUM(J72:J80)</f>
        <v>0</v>
      </c>
      <c r="K71" s="237" t="str">
        <f>IF(J71&gt;I71,"⚠","")</f>
        <v/>
      </c>
      <c r="L71" s="201"/>
      <c r="M71" s="324"/>
      <c r="N71" s="324"/>
      <c r="O71" s="324"/>
      <c r="S71" s="76"/>
      <c r="T71" s="76"/>
    </row>
    <row r="72" spans="1:20" s="65" customFormat="1" ht="19.2" customHeight="1" x14ac:dyDescent="0.25">
      <c r="A72" s="108">
        <v>0</v>
      </c>
      <c r="B72" s="108">
        <v>0</v>
      </c>
      <c r="C72" s="108">
        <v>0</v>
      </c>
      <c r="D72" s="57"/>
      <c r="E72" s="253"/>
      <c r="F72" s="256" t="s">
        <v>173</v>
      </c>
      <c r="G72" s="257"/>
      <c r="H72" s="258" t="s">
        <v>174</v>
      </c>
      <c r="I72" s="88"/>
      <c r="J72" s="210">
        <f>SUM(A72:B72)</f>
        <v>0</v>
      </c>
      <c r="K72" s="237"/>
      <c r="L72" s="201"/>
      <c r="M72" s="324"/>
      <c r="N72" s="324"/>
      <c r="O72" s="324"/>
      <c r="S72" s="76"/>
      <c r="T72" s="76"/>
    </row>
    <row r="73" spans="1:20" s="65" customFormat="1" ht="19.2" customHeight="1" x14ac:dyDescent="0.25">
      <c r="A73" s="108">
        <v>0</v>
      </c>
      <c r="B73" s="108">
        <v>0</v>
      </c>
      <c r="C73" s="108">
        <v>0</v>
      </c>
      <c r="D73" s="57"/>
      <c r="E73" s="253"/>
      <c r="F73" s="259" t="s">
        <v>175</v>
      </c>
      <c r="G73" s="260"/>
      <c r="H73" s="261" t="s">
        <v>174</v>
      </c>
      <c r="I73" s="88"/>
      <c r="J73" s="210">
        <f t="shared" ref="J73:J80" si="12">SUM(A73:B73)</f>
        <v>0</v>
      </c>
      <c r="K73" s="237"/>
      <c r="L73" s="201"/>
      <c r="M73" s="324"/>
      <c r="N73" s="324"/>
      <c r="O73" s="324"/>
      <c r="S73" s="76"/>
      <c r="T73" s="76"/>
    </row>
    <row r="74" spans="1:20" s="65" customFormat="1" ht="19.2" customHeight="1" x14ac:dyDescent="0.25">
      <c r="A74" s="108">
        <v>0</v>
      </c>
      <c r="B74" s="108">
        <v>0</v>
      </c>
      <c r="C74" s="108">
        <v>0</v>
      </c>
      <c r="D74" s="57"/>
      <c r="E74" s="253"/>
      <c r="F74" s="259" t="s">
        <v>176</v>
      </c>
      <c r="G74" s="260"/>
      <c r="H74" s="261" t="s">
        <v>174</v>
      </c>
      <c r="I74" s="88"/>
      <c r="J74" s="210">
        <f t="shared" si="12"/>
        <v>0</v>
      </c>
      <c r="K74" s="237"/>
      <c r="L74" s="201"/>
      <c r="M74" s="324"/>
      <c r="N74" s="324"/>
      <c r="O74" s="324"/>
      <c r="S74" s="76"/>
      <c r="T74" s="76"/>
    </row>
    <row r="75" spans="1:20" s="65" customFormat="1" ht="19.2" customHeight="1" x14ac:dyDescent="0.25">
      <c r="A75" s="108">
        <v>0</v>
      </c>
      <c r="B75" s="108">
        <v>0</v>
      </c>
      <c r="C75" s="108">
        <v>0</v>
      </c>
      <c r="D75" s="57"/>
      <c r="E75" s="253"/>
      <c r="F75" s="259" t="s">
        <v>177</v>
      </c>
      <c r="G75" s="260"/>
      <c r="H75" s="261" t="s">
        <v>174</v>
      </c>
      <c r="I75" s="88"/>
      <c r="J75" s="210">
        <f t="shared" si="12"/>
        <v>0</v>
      </c>
      <c r="K75" s="237"/>
      <c r="L75" s="201"/>
      <c r="M75" s="324"/>
      <c r="N75" s="324"/>
      <c r="O75" s="324"/>
      <c r="S75" s="76"/>
      <c r="T75" s="76"/>
    </row>
    <row r="76" spans="1:20" s="65" customFormat="1" ht="19.2" customHeight="1" x14ac:dyDescent="0.25">
      <c r="A76" s="108">
        <v>0</v>
      </c>
      <c r="B76" s="108">
        <v>0</v>
      </c>
      <c r="C76" s="108">
        <v>0</v>
      </c>
      <c r="D76" s="57"/>
      <c r="E76" s="253"/>
      <c r="F76" s="259" t="s">
        <v>178</v>
      </c>
      <c r="G76" s="260"/>
      <c r="H76" s="261" t="s">
        <v>174</v>
      </c>
      <c r="I76" s="88"/>
      <c r="J76" s="210">
        <f t="shared" si="12"/>
        <v>0</v>
      </c>
      <c r="K76" s="237"/>
      <c r="L76" s="201"/>
      <c r="M76" s="324"/>
      <c r="N76" s="324"/>
      <c r="O76" s="324"/>
      <c r="S76" s="76"/>
      <c r="T76" s="76"/>
    </row>
    <row r="77" spans="1:20" s="65" customFormat="1" ht="19.2" customHeight="1" x14ac:dyDescent="0.25">
      <c r="A77" s="108">
        <v>0</v>
      </c>
      <c r="B77" s="108">
        <v>0</v>
      </c>
      <c r="C77" s="108">
        <v>0</v>
      </c>
      <c r="D77" s="57"/>
      <c r="E77" s="253"/>
      <c r="F77" s="259" t="s">
        <v>179</v>
      </c>
      <c r="G77" s="260"/>
      <c r="H77" s="261" t="s">
        <v>174</v>
      </c>
      <c r="I77" s="88"/>
      <c r="J77" s="210">
        <f t="shared" si="12"/>
        <v>0</v>
      </c>
      <c r="K77" s="237"/>
      <c r="L77" s="201"/>
      <c r="M77" s="324"/>
      <c r="N77" s="324"/>
      <c r="O77" s="324"/>
      <c r="S77" s="76"/>
      <c r="T77" s="76"/>
    </row>
    <row r="78" spans="1:20" s="65" customFormat="1" ht="19.2" customHeight="1" x14ac:dyDescent="0.25">
      <c r="A78" s="108">
        <v>0</v>
      </c>
      <c r="B78" s="108">
        <v>0</v>
      </c>
      <c r="C78" s="108">
        <v>0</v>
      </c>
      <c r="D78" s="57"/>
      <c r="E78" s="253"/>
      <c r="F78" s="259" t="s">
        <v>180</v>
      </c>
      <c r="G78" s="260"/>
      <c r="H78" s="261" t="s">
        <v>174</v>
      </c>
      <c r="I78" s="88"/>
      <c r="J78" s="210">
        <f t="shared" si="12"/>
        <v>0</v>
      </c>
      <c r="K78" s="237"/>
      <c r="L78" s="201"/>
      <c r="M78" s="324"/>
      <c r="N78" s="324"/>
      <c r="O78" s="324"/>
      <c r="S78" s="76"/>
      <c r="T78" s="76"/>
    </row>
    <row r="79" spans="1:20" s="65" customFormat="1" ht="19.2" customHeight="1" x14ac:dyDescent="0.25">
      <c r="A79" s="108">
        <v>0</v>
      </c>
      <c r="B79" s="108">
        <v>0</v>
      </c>
      <c r="C79" s="108">
        <v>0</v>
      </c>
      <c r="D79" s="57"/>
      <c r="E79" s="253"/>
      <c r="F79" s="259" t="s">
        <v>181</v>
      </c>
      <c r="G79" s="260"/>
      <c r="H79" s="261" t="s">
        <v>174</v>
      </c>
      <c r="I79" s="88"/>
      <c r="J79" s="210">
        <f t="shared" si="12"/>
        <v>0</v>
      </c>
      <c r="K79" s="237"/>
      <c r="L79" s="201"/>
      <c r="M79" s="324"/>
      <c r="N79" s="324"/>
      <c r="O79" s="324"/>
      <c r="S79" s="76"/>
      <c r="T79" s="76"/>
    </row>
    <row r="80" spans="1:20" s="65" customFormat="1" ht="19.2" customHeight="1" x14ac:dyDescent="0.25">
      <c r="A80" s="108">
        <v>0</v>
      </c>
      <c r="B80" s="108">
        <v>0</v>
      </c>
      <c r="C80" s="108">
        <v>0</v>
      </c>
      <c r="D80" s="57"/>
      <c r="E80" s="253"/>
      <c r="F80" s="259" t="s">
        <v>182</v>
      </c>
      <c r="G80" s="260"/>
      <c r="H80" s="261" t="s">
        <v>174</v>
      </c>
      <c r="I80" s="88"/>
      <c r="J80" s="210">
        <f t="shared" si="12"/>
        <v>0</v>
      </c>
      <c r="K80" s="237"/>
      <c r="L80" s="201"/>
      <c r="M80" s="324"/>
      <c r="N80" s="324"/>
      <c r="O80" s="324"/>
      <c r="S80" s="76"/>
      <c r="T80" s="76"/>
    </row>
    <row r="81" spans="1:20" s="65" customFormat="1" ht="19.2" customHeight="1" x14ac:dyDescent="0.25">
      <c r="A81" s="108">
        <v>0</v>
      </c>
      <c r="B81" s="108">
        <v>0</v>
      </c>
      <c r="C81" s="108">
        <v>0</v>
      </c>
      <c r="D81" s="57"/>
      <c r="E81" s="220" t="s">
        <v>146</v>
      </c>
      <c r="F81" s="301" t="s">
        <v>147</v>
      </c>
      <c r="G81" s="302"/>
      <c r="H81" s="303"/>
      <c r="I81" s="88">
        <v>1</v>
      </c>
      <c r="J81" s="210">
        <f>SUM(A81:B81)</f>
        <v>0</v>
      </c>
      <c r="K81" s="237" t="str">
        <f t="shared" ref="K81" si="13">IF(J81&gt;I81,"⚠","")</f>
        <v/>
      </c>
      <c r="L81" s="201"/>
      <c r="M81" s="324"/>
      <c r="N81" s="324"/>
      <c r="O81" s="324"/>
      <c r="S81" s="76"/>
      <c r="T81" s="76"/>
    </row>
    <row r="82" spans="1:20" s="76" customFormat="1" ht="19.2" customHeight="1" x14ac:dyDescent="0.25">
      <c r="A82" s="82"/>
      <c r="B82" s="82"/>
      <c r="C82" s="82"/>
      <c r="D82" s="83"/>
      <c r="E82" s="71"/>
      <c r="F82" s="71"/>
      <c r="G82" s="71"/>
      <c r="H82" s="71"/>
      <c r="I82" s="71"/>
      <c r="J82" s="71"/>
      <c r="K82" s="208"/>
      <c r="L82" s="208"/>
      <c r="M82" s="209"/>
      <c r="N82" s="77"/>
    </row>
    <row r="83" spans="1:20" s="94" customFormat="1" ht="19.2" customHeight="1" x14ac:dyDescent="0.25">
      <c r="A83" s="102">
        <f>SUM(A13,A16:A20,A24:A29,A34:A35,A43:A49,A54:A58,A64:A68,A72:A81)</f>
        <v>0</v>
      </c>
      <c r="B83" s="102">
        <f t="shared" ref="B83:C83" si="14">SUM(B13,B16:B20,B24:B29,B34:B35,B43:B49,B54:B58,B64:B68,B72:B81)</f>
        <v>0</v>
      </c>
      <c r="C83" s="102">
        <f t="shared" si="14"/>
        <v>0</v>
      </c>
      <c r="D83" s="102"/>
      <c r="E83" s="285" t="s">
        <v>22</v>
      </c>
      <c r="F83" s="285"/>
      <c r="G83" s="285"/>
      <c r="H83" s="103"/>
      <c r="I83" s="102">
        <f xml:space="preserve"> SUM(I9,I15,I22,I31,I37,I51,I60, I70)</f>
        <v>110</v>
      </c>
      <c r="J83" s="102">
        <f xml:space="preserve"> SUM(J9,J15,J22,J31,J37,J51,J60, J70)</f>
        <v>0</v>
      </c>
      <c r="K83" s="239"/>
      <c r="L83" s="239"/>
      <c r="M83" s="252"/>
      <c r="N83" s="252"/>
      <c r="O83" s="252"/>
      <c r="S83" s="76"/>
      <c r="T83" s="76"/>
    </row>
    <row r="84" spans="1:20" s="65" customFormat="1" ht="19.2" customHeight="1" x14ac:dyDescent="0.25">
      <c r="A84" s="66"/>
      <c r="B84" s="66"/>
      <c r="C84" s="66"/>
      <c r="D84" s="66"/>
      <c r="E84" s="66"/>
      <c r="F84" s="105"/>
      <c r="G84" s="66"/>
      <c r="H84" s="67"/>
      <c r="I84" s="67"/>
      <c r="J84" s="67"/>
      <c r="K84" s="240"/>
      <c r="L84" s="67"/>
      <c r="M84" s="185"/>
      <c r="S84" s="128"/>
      <c r="T84" s="76"/>
    </row>
    <row r="85" spans="1:20" s="104" customFormat="1" ht="21" customHeight="1" x14ac:dyDescent="0.25">
      <c r="A85" s="14"/>
      <c r="B85" s="14"/>
      <c r="C85" s="14"/>
      <c r="D85" s="14"/>
      <c r="E85" s="1"/>
      <c r="F85" s="1"/>
      <c r="G85" s="1"/>
      <c r="H85" s="1"/>
      <c r="I85" s="1"/>
      <c r="J85" s="1"/>
      <c r="K85" s="206"/>
      <c r="L85" s="77"/>
      <c r="M85" s="123"/>
      <c r="N85" s="184"/>
      <c r="S85" s="128"/>
      <c r="T85" s="76"/>
    </row>
    <row r="86" spans="1:20" s="65" customFormat="1" x14ac:dyDescent="0.25">
      <c r="A86" s="14"/>
      <c r="B86" s="14"/>
      <c r="C86" s="14"/>
      <c r="D86" s="14"/>
      <c r="E86" s="1"/>
      <c r="F86" s="1"/>
      <c r="G86" s="1"/>
      <c r="H86" s="1"/>
      <c r="I86" s="1"/>
      <c r="J86" s="1"/>
      <c r="K86" s="206"/>
      <c r="L86" s="77"/>
      <c r="M86" s="123"/>
      <c r="O86" s="66"/>
      <c r="P86" s="66"/>
      <c r="Q86" s="66"/>
      <c r="R86" s="66"/>
      <c r="S86" s="76"/>
      <c r="T86" s="76"/>
    </row>
    <row r="87" spans="1:20" x14ac:dyDescent="0.25">
      <c r="S87" s="76"/>
      <c r="T87" s="76"/>
    </row>
    <row r="88" spans="1:20" x14ac:dyDescent="0.25">
      <c r="S88" s="76"/>
      <c r="T88" s="76"/>
    </row>
    <row r="89" spans="1:20" x14ac:dyDescent="0.25">
      <c r="S89" s="76"/>
      <c r="T89" s="76"/>
    </row>
  </sheetData>
  <mergeCells count="138">
    <mergeCell ref="M67:O67"/>
    <mergeCell ref="M68:O68"/>
    <mergeCell ref="M71:O71"/>
    <mergeCell ref="M81:O81"/>
    <mergeCell ref="M72:O72"/>
    <mergeCell ref="M73:O73"/>
    <mergeCell ref="M74:O74"/>
    <mergeCell ref="M75:O75"/>
    <mergeCell ref="M76:O76"/>
    <mergeCell ref="M77:O77"/>
    <mergeCell ref="M78:O78"/>
    <mergeCell ref="M79:O79"/>
    <mergeCell ref="M80:O80"/>
    <mergeCell ref="M62:O62"/>
    <mergeCell ref="M63:O63"/>
    <mergeCell ref="M64:O64"/>
    <mergeCell ref="M65:O65"/>
    <mergeCell ref="M66:O66"/>
    <mergeCell ref="M55:O55"/>
    <mergeCell ref="M56:O56"/>
    <mergeCell ref="M57:O57"/>
    <mergeCell ref="M58:O58"/>
    <mergeCell ref="M61:O61"/>
    <mergeCell ref="M48:O48"/>
    <mergeCell ref="M49:O49"/>
    <mergeCell ref="M52:O52"/>
    <mergeCell ref="M53:O53"/>
    <mergeCell ref="M54:O54"/>
    <mergeCell ref="M43:O43"/>
    <mergeCell ref="M44:O44"/>
    <mergeCell ref="M45:O45"/>
    <mergeCell ref="M46:O46"/>
    <mergeCell ref="M47:O47"/>
    <mergeCell ref="M38:O38"/>
    <mergeCell ref="M39:O39"/>
    <mergeCell ref="M40:O40"/>
    <mergeCell ref="M41:O41"/>
    <mergeCell ref="M42:O42"/>
    <mergeCell ref="M29:O29"/>
    <mergeCell ref="M32:O32"/>
    <mergeCell ref="M33:O33"/>
    <mergeCell ref="M34:O34"/>
    <mergeCell ref="M35:O35"/>
    <mergeCell ref="M24:O24"/>
    <mergeCell ref="M25:O25"/>
    <mergeCell ref="M26:O26"/>
    <mergeCell ref="M27:O27"/>
    <mergeCell ref="M28:O28"/>
    <mergeCell ref="M17:O17"/>
    <mergeCell ref="M18:O18"/>
    <mergeCell ref="M19:O19"/>
    <mergeCell ref="M20:O20"/>
    <mergeCell ref="M23:O23"/>
    <mergeCell ref="M10:O10"/>
    <mergeCell ref="M11:O11"/>
    <mergeCell ref="M12:O12"/>
    <mergeCell ref="M13:O13"/>
    <mergeCell ref="M16:O16"/>
    <mergeCell ref="I42:J42"/>
    <mergeCell ref="I40:J40"/>
    <mergeCell ref="F42:H42"/>
    <mergeCell ref="I62:J62"/>
    <mergeCell ref="F43:H43"/>
    <mergeCell ref="F44:H44"/>
    <mergeCell ref="F46:H46"/>
    <mergeCell ref="F38:H38"/>
    <mergeCell ref="F19:H19"/>
    <mergeCell ref="F20:H20"/>
    <mergeCell ref="F25:H25"/>
    <mergeCell ref="F26:H26"/>
    <mergeCell ref="F27:H27"/>
    <mergeCell ref="F28:H28"/>
    <mergeCell ref="F10:H10"/>
    <mergeCell ref="I10:J10"/>
    <mergeCell ref="I11:J11"/>
    <mergeCell ref="I12:J12"/>
    <mergeCell ref="I38:J38"/>
    <mergeCell ref="F16:H16"/>
    <mergeCell ref="F17:H17"/>
    <mergeCell ref="F18:H18"/>
    <mergeCell ref="F35:H35"/>
    <mergeCell ref="F81:H81"/>
    <mergeCell ref="I52:J52"/>
    <mergeCell ref="F53:H53"/>
    <mergeCell ref="I53:J53"/>
    <mergeCell ref="F55:H55"/>
    <mergeCell ref="F56:H56"/>
    <mergeCell ref="I61:J61"/>
    <mergeCell ref="I63:J63"/>
    <mergeCell ref="E70:H70"/>
    <mergeCell ref="F52:H52"/>
    <mergeCell ref="F57:H57"/>
    <mergeCell ref="F62:H62"/>
    <mergeCell ref="F64:H64"/>
    <mergeCell ref="P3:R3"/>
    <mergeCell ref="P4:R4"/>
    <mergeCell ref="I32:J32"/>
    <mergeCell ref="I23:J23"/>
    <mergeCell ref="F41:H41"/>
    <mergeCell ref="I41:J41"/>
    <mergeCell ref="F39:H39"/>
    <mergeCell ref="F11:H11"/>
    <mergeCell ref="F13:H13"/>
    <mergeCell ref="F32:H32"/>
    <mergeCell ref="F34:H34"/>
    <mergeCell ref="E37:H37"/>
    <mergeCell ref="E15:H15"/>
    <mergeCell ref="F21:H21"/>
    <mergeCell ref="E22:H22"/>
    <mergeCell ref="F23:H23"/>
    <mergeCell ref="E9:H9"/>
    <mergeCell ref="F12:H12"/>
    <mergeCell ref="F40:H40"/>
    <mergeCell ref="E31:H31"/>
    <mergeCell ref="I6:I8"/>
    <mergeCell ref="J6:J8"/>
    <mergeCell ref="M8:O8"/>
    <mergeCell ref="F24:H24"/>
    <mergeCell ref="F29:H29"/>
    <mergeCell ref="F33:H33"/>
    <mergeCell ref="E83:G83"/>
    <mergeCell ref="F45:H45"/>
    <mergeCell ref="E51:H51"/>
    <mergeCell ref="E60:H60"/>
    <mergeCell ref="F61:H61"/>
    <mergeCell ref="F63:H63"/>
    <mergeCell ref="F47:H47"/>
    <mergeCell ref="F48:H48"/>
    <mergeCell ref="F49:H49"/>
    <mergeCell ref="F54:H54"/>
    <mergeCell ref="F58:H58"/>
    <mergeCell ref="F65:H65"/>
    <mergeCell ref="F71:H71"/>
    <mergeCell ref="I39:J39"/>
    <mergeCell ref="I33:J33"/>
    <mergeCell ref="F68:H68"/>
    <mergeCell ref="F67:H67"/>
    <mergeCell ref="F66:H66"/>
  </mergeCells>
  <phoneticPr fontId="17" type="noConversion"/>
  <conditionalFormatting sqref="A13">
    <cfRule type="expression" dxfId="131" priority="53">
      <formula>$A$13&gt;$I$13</formula>
    </cfRule>
  </conditionalFormatting>
  <conditionalFormatting sqref="A16">
    <cfRule type="expression" dxfId="130" priority="197">
      <formula>$A$16&gt;$I$16</formula>
    </cfRule>
  </conditionalFormatting>
  <conditionalFormatting sqref="A17">
    <cfRule type="expression" dxfId="129" priority="185">
      <formula>$A$17&gt;$I$17</formula>
    </cfRule>
  </conditionalFormatting>
  <conditionalFormatting sqref="A18">
    <cfRule type="expression" dxfId="128" priority="181">
      <formula>$A$18&gt;$I$18</formula>
    </cfRule>
  </conditionalFormatting>
  <conditionalFormatting sqref="A19">
    <cfRule type="expression" dxfId="127" priority="49">
      <formula>$A$19&gt;$I$19</formula>
    </cfRule>
  </conditionalFormatting>
  <conditionalFormatting sqref="A20">
    <cfRule type="expression" dxfId="126" priority="45">
      <formula>$A$20&gt;$I$20</formula>
    </cfRule>
  </conditionalFormatting>
  <conditionalFormatting sqref="A24">
    <cfRule type="expression" dxfId="125" priority="162">
      <formula>$A$24&gt;$I$24</formula>
    </cfRule>
  </conditionalFormatting>
  <conditionalFormatting sqref="A25">
    <cfRule type="expression" dxfId="124" priority="41">
      <formula>$A$25&gt;$I$25</formula>
    </cfRule>
  </conditionalFormatting>
  <conditionalFormatting sqref="A26">
    <cfRule type="expression" dxfId="123" priority="37">
      <formula>$A$26&gt;$I$26</formula>
    </cfRule>
  </conditionalFormatting>
  <conditionalFormatting sqref="A27">
    <cfRule type="expression" dxfId="122" priority="33">
      <formula>$A$27&gt;$I$27</formula>
    </cfRule>
  </conditionalFormatting>
  <conditionalFormatting sqref="A28">
    <cfRule type="expression" dxfId="121" priority="29">
      <formula>$A$28&gt;$I$28</formula>
    </cfRule>
  </conditionalFormatting>
  <conditionalFormatting sqref="A29">
    <cfRule type="expression" dxfId="120" priority="25">
      <formula>$A$29&gt;$I$29</formula>
    </cfRule>
  </conditionalFormatting>
  <conditionalFormatting sqref="A34">
    <cfRule type="expression" dxfId="119" priority="158">
      <formula>$A$34&gt;$I$34</formula>
    </cfRule>
  </conditionalFormatting>
  <conditionalFormatting sqref="A35">
    <cfRule type="expression" dxfId="118" priority="154">
      <formula>$A$35&gt;$I$35</formula>
    </cfRule>
  </conditionalFormatting>
  <conditionalFormatting sqref="A43">
    <cfRule type="expression" dxfId="117" priority="145">
      <formula>$A$43&gt;$I$43</formula>
    </cfRule>
  </conditionalFormatting>
  <conditionalFormatting sqref="A44">
    <cfRule type="expression" dxfId="116" priority="140">
      <formula>$A$44&gt;$I$44</formula>
    </cfRule>
  </conditionalFormatting>
  <conditionalFormatting sqref="A45">
    <cfRule type="expression" dxfId="115" priority="136">
      <formula>$A$45&gt;$I$45</formula>
    </cfRule>
  </conditionalFormatting>
  <conditionalFormatting sqref="A46">
    <cfRule type="expression" dxfId="114" priority="132">
      <formula>$A$46&gt;$I$46</formula>
    </cfRule>
  </conditionalFormatting>
  <conditionalFormatting sqref="A47">
    <cfRule type="expression" dxfId="113" priority="128">
      <formula>$A$47&gt;$I$47</formula>
    </cfRule>
  </conditionalFormatting>
  <conditionalFormatting sqref="A48">
    <cfRule type="expression" dxfId="112" priority="124">
      <formula>$A$48&gt;$I$48</formula>
    </cfRule>
  </conditionalFormatting>
  <conditionalFormatting sqref="A49">
    <cfRule type="expression" dxfId="111" priority="120">
      <formula>$A$49&gt;$I$49</formula>
    </cfRule>
  </conditionalFormatting>
  <conditionalFormatting sqref="A54">
    <cfRule type="expression" dxfId="110" priority="111">
      <formula>$A$54&gt;$I$54</formula>
    </cfRule>
  </conditionalFormatting>
  <conditionalFormatting sqref="A55">
    <cfRule type="expression" dxfId="109" priority="21">
      <formula>$A$55&gt;$I$55</formula>
    </cfRule>
  </conditionalFormatting>
  <conditionalFormatting sqref="A56">
    <cfRule type="expression" dxfId="108" priority="16">
      <formula>$A$56&gt;$I$56</formula>
    </cfRule>
  </conditionalFormatting>
  <conditionalFormatting sqref="A57">
    <cfRule type="expression" dxfId="107" priority="12">
      <formula>$A$57&gt;$I$57</formula>
    </cfRule>
  </conditionalFormatting>
  <conditionalFormatting sqref="A58">
    <cfRule type="expression" dxfId="106" priority="8">
      <formula>$A$58&gt;$I$58</formula>
    </cfRule>
  </conditionalFormatting>
  <conditionalFormatting sqref="A64">
    <cfRule type="expression" dxfId="105" priority="98">
      <formula>$A$64&gt;$I$64</formula>
    </cfRule>
  </conditionalFormatting>
  <conditionalFormatting sqref="A65">
    <cfRule type="expression" dxfId="104" priority="94">
      <formula>$A$65&gt;$I$65</formula>
    </cfRule>
  </conditionalFormatting>
  <conditionalFormatting sqref="A66">
    <cfRule type="expression" dxfId="103" priority="90">
      <formula>$A$66&gt;$I$66</formula>
    </cfRule>
  </conditionalFormatting>
  <conditionalFormatting sqref="A67">
    <cfRule type="expression" dxfId="102" priority="86">
      <formula>$A$67&gt;$I$67</formula>
    </cfRule>
  </conditionalFormatting>
  <conditionalFormatting sqref="A68">
    <cfRule type="expression" dxfId="101" priority="82">
      <formula>$A$68&gt;$I$68</formula>
    </cfRule>
  </conditionalFormatting>
  <conditionalFormatting sqref="A81">
    <cfRule type="expression" dxfId="100" priority="4">
      <formula>$A$81&gt;$I$81</formula>
    </cfRule>
  </conditionalFormatting>
  <conditionalFormatting sqref="A13:C13 J13">
    <cfRule type="expression" dxfId="99" priority="50">
      <formula>$J$13&gt;$I$13</formula>
    </cfRule>
  </conditionalFormatting>
  <conditionalFormatting sqref="A16:C16 J16">
    <cfRule type="expression" dxfId="98" priority="200">
      <formula>$J$16&gt;$I$16</formula>
    </cfRule>
  </conditionalFormatting>
  <conditionalFormatting sqref="A17:C17 J17">
    <cfRule type="expression" dxfId="97" priority="182">
      <formula>$J$17&gt;$I$17</formula>
    </cfRule>
  </conditionalFormatting>
  <conditionalFormatting sqref="A18:C18 J18">
    <cfRule type="expression" dxfId="96" priority="177">
      <formula>$J$18&gt;$I$18</formula>
    </cfRule>
  </conditionalFormatting>
  <conditionalFormatting sqref="A19:C19 J19">
    <cfRule type="expression" dxfId="95" priority="46">
      <formula>$J$19&gt;$I$19</formula>
    </cfRule>
  </conditionalFormatting>
  <conditionalFormatting sqref="A20:C20 J20">
    <cfRule type="expression" dxfId="94" priority="42">
      <formula>$J$20&gt;$I$20</formula>
    </cfRule>
  </conditionalFormatting>
  <conditionalFormatting sqref="A24:C24 J24">
    <cfRule type="expression" dxfId="93" priority="159">
      <formula>$J$24&gt;$I$24</formula>
    </cfRule>
  </conditionalFormatting>
  <conditionalFormatting sqref="A25:C25 J25">
    <cfRule type="expression" dxfId="92" priority="38">
      <formula>$J$25&gt;$I$25</formula>
    </cfRule>
  </conditionalFormatting>
  <conditionalFormatting sqref="A26:C26 J26">
    <cfRule type="expression" dxfId="91" priority="34">
      <formula>$J$26&gt;$I$26</formula>
    </cfRule>
  </conditionalFormatting>
  <conditionalFormatting sqref="A27:C27 J27">
    <cfRule type="expression" dxfId="90" priority="30">
      <formula>$J$27&gt;$I$27</formula>
    </cfRule>
  </conditionalFormatting>
  <conditionalFormatting sqref="A28:C28 J28">
    <cfRule type="expression" dxfId="89" priority="26">
      <formula>$J$28&gt;$I$28</formula>
    </cfRule>
  </conditionalFormatting>
  <conditionalFormatting sqref="A29:C29 J29">
    <cfRule type="expression" dxfId="88" priority="22">
      <formula>$J$29&gt;$I$29</formula>
    </cfRule>
  </conditionalFormatting>
  <conditionalFormatting sqref="A34:C34 J34">
    <cfRule type="expression" dxfId="87" priority="155">
      <formula>$J$34&gt;$I$34</formula>
    </cfRule>
  </conditionalFormatting>
  <conditionalFormatting sqref="A35:C35 J35">
    <cfRule type="expression" dxfId="86" priority="151">
      <formula>$J$35&gt;$I$35</formula>
    </cfRule>
  </conditionalFormatting>
  <conditionalFormatting sqref="A43:C43 J43">
    <cfRule type="expression" dxfId="85" priority="142">
      <formula>$J$43&gt;$I$43</formula>
    </cfRule>
  </conditionalFormatting>
  <conditionalFormatting sqref="A44:C44 J44">
    <cfRule type="expression" dxfId="84" priority="141">
      <formula>$J$44&gt;$I$44</formula>
    </cfRule>
  </conditionalFormatting>
  <conditionalFormatting sqref="A45:C45 J45">
    <cfRule type="expression" dxfId="83" priority="137">
      <formula>$J$45&gt;$I$45</formula>
    </cfRule>
  </conditionalFormatting>
  <conditionalFormatting sqref="A46:C46 J46">
    <cfRule type="expression" dxfId="82" priority="133">
      <formula>$J$46&gt;$I$46</formula>
    </cfRule>
  </conditionalFormatting>
  <conditionalFormatting sqref="A47:C47 J47">
    <cfRule type="expression" dxfId="81" priority="129">
      <formula>$J$47&gt;$I$47</formula>
    </cfRule>
  </conditionalFormatting>
  <conditionalFormatting sqref="A48:C48 J48">
    <cfRule type="expression" dxfId="80" priority="125">
      <formula>$J$48&gt;$I$48</formula>
    </cfRule>
  </conditionalFormatting>
  <conditionalFormatting sqref="A49:C49 J49">
    <cfRule type="expression" dxfId="79" priority="121">
      <formula>$J$49&gt;$I$49</formula>
    </cfRule>
  </conditionalFormatting>
  <conditionalFormatting sqref="A54:C54 J54">
    <cfRule type="expression" dxfId="78" priority="112">
      <formula>$J$54&gt;$I$54</formula>
    </cfRule>
  </conditionalFormatting>
  <conditionalFormatting sqref="A55:C55 J55">
    <cfRule type="expression" dxfId="77" priority="18">
      <formula>$J$55&gt;$I$55</formula>
    </cfRule>
  </conditionalFormatting>
  <conditionalFormatting sqref="A56:C56 J56">
    <cfRule type="expression" dxfId="76" priority="13">
      <formula>$J$56&gt;$I$56</formula>
    </cfRule>
  </conditionalFormatting>
  <conditionalFormatting sqref="A57:C57 J57">
    <cfRule type="expression" dxfId="75" priority="9">
      <formula>$J$57&gt;$I$57</formula>
    </cfRule>
  </conditionalFormatting>
  <conditionalFormatting sqref="A58:C58 J58">
    <cfRule type="expression" dxfId="74" priority="5">
      <formula>$J$58&gt;$I$58</formula>
    </cfRule>
  </conditionalFormatting>
  <conditionalFormatting sqref="A64:C64 J64">
    <cfRule type="expression" dxfId="73" priority="99">
      <formula>$J$64&gt;$I$64</formula>
    </cfRule>
  </conditionalFormatting>
  <conditionalFormatting sqref="A65:C65 J65">
    <cfRule type="expression" dxfId="72" priority="95">
      <formula>$J$65&gt;$I$65</formula>
    </cfRule>
  </conditionalFormatting>
  <conditionalFormatting sqref="A66:C66 J66">
    <cfRule type="expression" dxfId="71" priority="91">
      <formula>$J$66&gt;$I$66</formula>
    </cfRule>
  </conditionalFormatting>
  <conditionalFormatting sqref="A67:C67 J67">
    <cfRule type="expression" dxfId="70" priority="87">
      <formula>$J$67&gt;$I$67</formula>
    </cfRule>
  </conditionalFormatting>
  <conditionalFormatting sqref="A68:C68 J68">
    <cfRule type="expression" dxfId="69" priority="83">
      <formula>$J$68&gt;$I$68</formula>
    </cfRule>
  </conditionalFormatting>
  <conditionalFormatting sqref="A72:C80">
    <cfRule type="expression" dxfId="68" priority="61">
      <formula>$A$71&gt;$I$71</formula>
    </cfRule>
  </conditionalFormatting>
  <conditionalFormatting sqref="A81:C81 J81">
    <cfRule type="expression" dxfId="67" priority="1">
      <formula>$J$81&gt;$I$81</formula>
    </cfRule>
  </conditionalFormatting>
  <conditionalFormatting sqref="B13">
    <cfRule type="expression" dxfId="66" priority="52">
      <formula>$B$13&gt;$I$13</formula>
    </cfRule>
  </conditionalFormatting>
  <conditionalFormatting sqref="B16">
    <cfRule type="expression" dxfId="65" priority="198">
      <formula>$B$16&gt;$I$16</formula>
    </cfRule>
  </conditionalFormatting>
  <conditionalFormatting sqref="B17">
    <cfRule type="expression" dxfId="64" priority="184">
      <formula>$B$17&gt;$I$17</formula>
    </cfRule>
  </conditionalFormatting>
  <conditionalFormatting sqref="B18">
    <cfRule type="expression" dxfId="63" priority="179">
      <formula>$B$18&gt;$I$18</formula>
    </cfRule>
  </conditionalFormatting>
  <conditionalFormatting sqref="B19">
    <cfRule type="expression" dxfId="62" priority="48">
      <formula>$B$19&gt;$I$19</formula>
    </cfRule>
  </conditionalFormatting>
  <conditionalFormatting sqref="B20">
    <cfRule type="expression" dxfId="61" priority="44">
      <formula>$B$20&gt;$I$20</formula>
    </cfRule>
  </conditionalFormatting>
  <conditionalFormatting sqref="B24">
    <cfRule type="expression" dxfId="60" priority="161">
      <formula>$B$24&gt;$I$24</formula>
    </cfRule>
  </conditionalFormatting>
  <conditionalFormatting sqref="B25">
    <cfRule type="expression" dxfId="59" priority="40">
      <formula>$B$25&gt;$I$25</formula>
    </cfRule>
  </conditionalFormatting>
  <conditionalFormatting sqref="B26">
    <cfRule type="expression" dxfId="58" priority="36">
      <formula>$B$26&gt;$I$26</formula>
    </cfRule>
  </conditionalFormatting>
  <conditionalFormatting sqref="B27">
    <cfRule type="expression" dxfId="57" priority="32">
      <formula>$B$27&gt;$I$27</formula>
    </cfRule>
  </conditionalFormatting>
  <conditionalFormatting sqref="B28">
    <cfRule type="expression" dxfId="56" priority="28">
      <formula>$B$28&gt;$I$28</formula>
    </cfRule>
  </conditionalFormatting>
  <conditionalFormatting sqref="B29">
    <cfRule type="expression" dxfId="55" priority="24">
      <formula>$B$29&gt;$I$29</formula>
    </cfRule>
  </conditionalFormatting>
  <conditionalFormatting sqref="B34">
    <cfRule type="expression" dxfId="54" priority="157">
      <formula>$B$34&gt;$I$34</formula>
    </cfRule>
  </conditionalFormatting>
  <conditionalFormatting sqref="B35">
    <cfRule type="expression" dxfId="53" priority="153">
      <formula>$B$35&gt;$I$35</formula>
    </cfRule>
  </conditionalFormatting>
  <conditionalFormatting sqref="B43">
    <cfRule type="expression" dxfId="52" priority="144">
      <formula>$B$43&gt;$I$43</formula>
    </cfRule>
  </conditionalFormatting>
  <conditionalFormatting sqref="B44">
    <cfRule type="expression" dxfId="51" priority="139">
      <formula>$B$44&gt;$I$44</formula>
    </cfRule>
  </conditionalFormatting>
  <conditionalFormatting sqref="B45">
    <cfRule type="expression" dxfId="50" priority="135">
      <formula>$B$45&gt;$I$45</formula>
    </cfRule>
  </conditionalFormatting>
  <conditionalFormatting sqref="B46">
    <cfRule type="expression" dxfId="49" priority="131">
      <formula>$B$46&gt;$I$46</formula>
    </cfRule>
  </conditionalFormatting>
  <conditionalFormatting sqref="B47">
    <cfRule type="expression" dxfId="48" priority="127">
      <formula>$B$47&gt;$I$47</formula>
    </cfRule>
  </conditionalFormatting>
  <conditionalFormatting sqref="B48">
    <cfRule type="expression" dxfId="47" priority="123">
      <formula>$B$48&gt;$I$48</formula>
    </cfRule>
  </conditionalFormatting>
  <conditionalFormatting sqref="B49">
    <cfRule type="expression" dxfId="46" priority="119">
      <formula>$B$49&gt;$I$49</formula>
    </cfRule>
  </conditionalFormatting>
  <conditionalFormatting sqref="B54">
    <cfRule type="expression" dxfId="45" priority="110">
      <formula>$B$54&gt;$I$54</formula>
    </cfRule>
  </conditionalFormatting>
  <conditionalFormatting sqref="B55">
    <cfRule type="expression" dxfId="44" priority="20">
      <formula>$B$55&gt;$I$55</formula>
    </cfRule>
  </conditionalFormatting>
  <conditionalFormatting sqref="B56">
    <cfRule type="expression" dxfId="43" priority="15">
      <formula>$B$56&gt;$I$56</formula>
    </cfRule>
  </conditionalFormatting>
  <conditionalFormatting sqref="B57">
    <cfRule type="expression" dxfId="42" priority="11">
      <formula>$B$57&gt;$I$57</formula>
    </cfRule>
  </conditionalFormatting>
  <conditionalFormatting sqref="B58">
    <cfRule type="expression" dxfId="41" priority="7">
      <formula>$B$58&gt;$I$58</formula>
    </cfRule>
  </conditionalFormatting>
  <conditionalFormatting sqref="B64">
    <cfRule type="expression" dxfId="40" priority="97">
      <formula>$B$64&gt;$I$64</formula>
    </cfRule>
  </conditionalFormatting>
  <conditionalFormatting sqref="B65">
    <cfRule type="expression" dxfId="39" priority="93">
      <formula>$B$65&gt;$I$65</formula>
    </cfRule>
  </conditionalFormatting>
  <conditionalFormatting sqref="B66">
    <cfRule type="expression" dxfId="38" priority="89">
      <formula>$B$66&gt;$I$66</formula>
    </cfRule>
  </conditionalFormatting>
  <conditionalFormatting sqref="B67">
    <cfRule type="expression" dxfId="37" priority="85">
      <formula>$B$67&gt;$I$67</formula>
    </cfRule>
  </conditionalFormatting>
  <conditionalFormatting sqref="B68">
    <cfRule type="expression" dxfId="36" priority="81">
      <formula>$B$68&gt;$I$68</formula>
    </cfRule>
  </conditionalFormatting>
  <conditionalFormatting sqref="B72:B80">
    <cfRule type="expression" dxfId="35" priority="60">
      <formula>$B$71&gt;$I$71</formula>
    </cfRule>
  </conditionalFormatting>
  <conditionalFormatting sqref="B81">
    <cfRule type="expression" dxfId="34" priority="3">
      <formula>$B$81&gt;$I$81</formula>
    </cfRule>
  </conditionalFormatting>
  <conditionalFormatting sqref="C13">
    <cfRule type="expression" dxfId="33" priority="51">
      <formula>$C$13&gt;$I$13</formula>
    </cfRule>
  </conditionalFormatting>
  <conditionalFormatting sqref="C16">
    <cfRule type="expression" dxfId="32" priority="199">
      <formula>$C$16&gt;$I$16</formula>
    </cfRule>
  </conditionalFormatting>
  <conditionalFormatting sqref="C17">
    <cfRule type="expression" dxfId="31" priority="183">
      <formula>$C$17&gt;$I$17</formula>
    </cfRule>
  </conditionalFormatting>
  <conditionalFormatting sqref="C18">
    <cfRule type="expression" dxfId="30" priority="178">
      <formula>$C$18&gt;$I$18</formula>
    </cfRule>
  </conditionalFormatting>
  <conditionalFormatting sqref="C19">
    <cfRule type="expression" dxfId="29" priority="47">
      <formula>$C$19&gt;$I$19</formula>
    </cfRule>
  </conditionalFormatting>
  <conditionalFormatting sqref="C20">
    <cfRule type="expression" dxfId="28" priority="43">
      <formula>$C$20&gt;$I$20</formula>
    </cfRule>
  </conditionalFormatting>
  <conditionalFormatting sqref="C24">
    <cfRule type="expression" dxfId="27" priority="160">
      <formula>$C$24&gt;$I$24</formula>
    </cfRule>
  </conditionalFormatting>
  <conditionalFormatting sqref="C25">
    <cfRule type="expression" dxfId="26" priority="39">
      <formula>$C$25&gt;$I$25</formula>
    </cfRule>
  </conditionalFormatting>
  <conditionalFormatting sqref="C26">
    <cfRule type="expression" dxfId="25" priority="35">
      <formula>$C$26&gt;$I$26</formula>
    </cfRule>
  </conditionalFormatting>
  <conditionalFormatting sqref="C27">
    <cfRule type="expression" dxfId="24" priority="31">
      <formula>$C$27&gt;$I$27</formula>
    </cfRule>
  </conditionalFormatting>
  <conditionalFormatting sqref="C28">
    <cfRule type="expression" dxfId="23" priority="27">
      <formula>$C$28&gt;$I$28</formula>
    </cfRule>
  </conditionalFormatting>
  <conditionalFormatting sqref="C29">
    <cfRule type="expression" dxfId="22" priority="23">
      <formula>$C$29&gt;$I$29</formula>
    </cfRule>
  </conditionalFormatting>
  <conditionalFormatting sqref="C34">
    <cfRule type="expression" dxfId="21" priority="156">
      <formula>$C$34&gt;$I$34</formula>
    </cfRule>
  </conditionalFormatting>
  <conditionalFormatting sqref="C35">
    <cfRule type="expression" dxfId="20" priority="152">
      <formula>$C$35&gt;$I$35</formula>
    </cfRule>
  </conditionalFormatting>
  <conditionalFormatting sqref="C43">
    <cfRule type="expression" dxfId="19" priority="143">
      <formula>$C$43&gt;$I$43</formula>
    </cfRule>
  </conditionalFormatting>
  <conditionalFormatting sqref="C44">
    <cfRule type="expression" dxfId="18" priority="138">
      <formula>$C$44&gt;$I$44</formula>
    </cfRule>
  </conditionalFormatting>
  <conditionalFormatting sqref="C45">
    <cfRule type="expression" dxfId="17" priority="134">
      <formula>$C$45&gt;$I$45</formula>
    </cfRule>
  </conditionalFormatting>
  <conditionalFormatting sqref="C46">
    <cfRule type="expression" dxfId="16" priority="130">
      <formula>$C$46&gt;$I$46</formula>
    </cfRule>
  </conditionalFormatting>
  <conditionalFormatting sqref="C47">
    <cfRule type="expression" dxfId="15" priority="126">
      <formula>$C$47&gt;$I$47</formula>
    </cfRule>
  </conditionalFormatting>
  <conditionalFormatting sqref="C48">
    <cfRule type="expression" dxfId="14" priority="122">
      <formula>$C$48&gt;$I$48</formula>
    </cfRule>
  </conditionalFormatting>
  <conditionalFormatting sqref="C49">
    <cfRule type="expression" dxfId="13" priority="118">
      <formula>$C$49&gt;$I$49</formula>
    </cfRule>
  </conditionalFormatting>
  <conditionalFormatting sqref="C54">
    <cfRule type="expression" dxfId="12" priority="109">
      <formula>$C$54&gt;$I$54</formula>
    </cfRule>
  </conditionalFormatting>
  <conditionalFormatting sqref="C55">
    <cfRule type="expression" dxfId="11" priority="19">
      <formula>$C$55&gt;$I$55</formula>
    </cfRule>
  </conditionalFormatting>
  <conditionalFormatting sqref="C56">
    <cfRule type="expression" dxfId="10" priority="14">
      <formula>$C$56&gt;$I$56</formula>
    </cfRule>
  </conditionalFormatting>
  <conditionalFormatting sqref="C57">
    <cfRule type="expression" dxfId="9" priority="10">
      <formula>$C$57&gt;$I$57</formula>
    </cfRule>
  </conditionalFormatting>
  <conditionalFormatting sqref="C58">
    <cfRule type="expression" dxfId="8" priority="6">
      <formula>$C$58&gt;$I$58</formula>
    </cfRule>
  </conditionalFormatting>
  <conditionalFormatting sqref="C64">
    <cfRule type="expression" dxfId="7" priority="96">
      <formula>$C$64&gt;$I$64</formula>
    </cfRule>
  </conditionalFormatting>
  <conditionalFormatting sqref="C65">
    <cfRule type="expression" dxfId="6" priority="92">
      <formula>$C$65&gt;$I$65</formula>
    </cfRule>
  </conditionalFormatting>
  <conditionalFormatting sqref="C66">
    <cfRule type="expression" dxfId="5" priority="88">
      <formula>$C$66&gt;$I$66</formula>
    </cfRule>
  </conditionalFormatting>
  <conditionalFormatting sqref="C67">
    <cfRule type="expression" dxfId="4" priority="84">
      <formula>$C$67&gt;$I$67</formula>
    </cfRule>
  </conditionalFormatting>
  <conditionalFormatting sqref="C68">
    <cfRule type="expression" dxfId="3" priority="80">
      <formula>$C$68&gt;$I$68</formula>
    </cfRule>
  </conditionalFormatting>
  <conditionalFormatting sqref="C72:C80">
    <cfRule type="expression" dxfId="2" priority="59">
      <formula>$C$71&gt;$I$71</formula>
    </cfRule>
  </conditionalFormatting>
  <conditionalFormatting sqref="C81">
    <cfRule type="expression" dxfId="1" priority="2">
      <formula>$C$81&gt;$I$81</formula>
    </cfRule>
  </conditionalFormatting>
  <conditionalFormatting sqref="J71:J80 A72:C80">
    <cfRule type="expression" dxfId="0" priority="62">
      <formula>$J$71&gt;$I$71</formula>
    </cfRule>
  </conditionalFormatting>
  <dataValidations count="4">
    <dataValidation type="custom" errorStyle="warning" allowBlank="1" showInputMessage="1" showErrorMessage="1" errorTitle="Too many points" error="Number of total planned points is higher than total possible points." sqref="J54:J58 J24:J29 J34:J35 J16:J20 J43:J49 J64:J68 J71:J81" xr:uid="{1BF333D3-E171-4ACD-AF1E-3DE4332ADDCF}">
      <formula1>J16&lt;=I16</formula1>
    </dataValidation>
    <dataValidation type="custom" errorStyle="warning" allowBlank="1" showInputMessage="1" showErrorMessage="1" errorTitle="Point Limit Exceeded." error="The value entered is too high. Please ensure number of planned points does not exceed the maximum possible points for this credit." sqref="A16:A20 A64:A68 A34:A35 A43:A49 A54:A58 A24:A29 A71 A81" xr:uid="{590C7B3F-352F-410A-A2AC-CA645600AD53}">
      <formula1>A16&lt;=$I16</formula1>
    </dataValidation>
    <dataValidation type="custom" errorStyle="warning" allowBlank="1" showInputMessage="1" showErrorMessage="1" errorTitle="Point Limit Exceeded." error="The value entered is too high. Please ensure the number of planned points does not exceed the maximum possible points for this credit." sqref="B16:C20 B64:C68 B34:C35 B43:C49 B54:C58 B24:C29 B71:C71 B81:C81" xr:uid="{4D311D02-44BF-4B2A-9B37-321CA722F03C}">
      <formula1>B16&lt;=$I16</formula1>
    </dataValidation>
    <dataValidation type="custom" errorStyle="warning" allowBlank="1" showInputMessage="1" showErrorMessage="1" errorTitle="Point Limit Exceeded." error="The value entered is too high. Please ensure number of planned points does not exceed the maximum possible points for this credit." sqref="A72:C80" xr:uid="{4ADEFCA6-168E-4623-B4FC-ABCF12E1A9BD}">
      <formula1>A72&lt;=$I$71</formula1>
    </dataValidation>
  </dataValidations>
  <pageMargins left="0.7" right="0.7" top="0.75" bottom="0.75" header="0.3" footer="0.3"/>
  <pageSetup scale="41" orientation="portrait" r:id="rId1"/>
  <ignoredErrors>
    <ignoredError sqref="I14:J14 I42:J42 I21:J21 J24 I30:J30 J34:J35 I36:J36 I63:J63 J43:J49 I50:J50 J54 I59:J59 I82:J82 J64:J68 I69:J69 I32:J32 I38:J40 I61:J61 J13 J17:J18 J16 J19:J20 J25:J29 J72:J8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F67D-FE2A-964A-A345-BDA06F1485F9}">
  <sheetPr>
    <pageSetUpPr fitToPage="1"/>
  </sheetPr>
  <dimension ref="A1:AG48"/>
  <sheetViews>
    <sheetView zoomScale="70" zoomScaleNormal="70" workbookViewId="0">
      <pane ySplit="5" topLeftCell="A6" activePane="bottomLeft" state="frozen"/>
      <selection pane="bottomLeft" activeCell="A2" sqref="A2"/>
    </sheetView>
  </sheetViews>
  <sheetFormatPr defaultColWidth="8.6640625" defaultRowHeight="17.399999999999999" x14ac:dyDescent="0.3"/>
  <cols>
    <col min="1" max="3" width="10" style="5" customWidth="1"/>
    <col min="4" max="4" width="10.44140625" style="3" bestFit="1" customWidth="1"/>
    <col min="5" max="5" width="6.5546875" style="3" customWidth="1"/>
    <col min="6" max="6" width="54.44140625" style="3" bestFit="1" customWidth="1"/>
    <col min="7" max="7" width="5.44140625" style="233" customWidth="1"/>
    <col min="8" max="8" width="4.33203125" style="3" customWidth="1"/>
    <col min="9" max="11" width="10" style="5" customWidth="1"/>
    <col min="12" max="12" width="10.6640625" style="3" bestFit="1" customWidth="1"/>
    <col min="13" max="13" width="6.5546875" style="3" customWidth="1"/>
    <col min="14" max="14" width="45.33203125" style="3" customWidth="1"/>
    <col min="15" max="15" width="5.44140625" style="233" customWidth="1"/>
    <col min="16" max="16" width="4.33203125" style="3" customWidth="1"/>
    <col min="17" max="19" width="10" style="5" customWidth="1"/>
    <col min="20" max="20" width="10.77734375" style="3" bestFit="1" customWidth="1"/>
    <col min="21" max="21" width="6.6640625" style="3" bestFit="1" customWidth="1"/>
    <col min="22" max="22" width="45.33203125" style="3" customWidth="1"/>
    <col min="23" max="23" width="5.44140625" style="233" customWidth="1"/>
    <col min="24" max="24" width="5.44140625" style="4" customWidth="1"/>
    <col min="25" max="25" width="6.88671875" style="27" customWidth="1"/>
    <col min="26" max="26" width="11.109375" style="3" customWidth="1"/>
    <col min="27" max="27" width="9.44140625" style="3" customWidth="1"/>
    <col min="28" max="16384" width="8.6640625" style="3"/>
  </cols>
  <sheetData>
    <row r="1" spans="1:33" s="1" customFormat="1" ht="25.2" customHeight="1" x14ac:dyDescent="0.3">
      <c r="A1" s="14"/>
      <c r="B1" s="14"/>
      <c r="C1" s="14"/>
      <c r="D1" s="14"/>
      <c r="E1" s="14"/>
      <c r="F1" s="14"/>
      <c r="G1" s="233"/>
      <c r="H1" s="3"/>
      <c r="O1" s="233"/>
      <c r="P1" s="2"/>
      <c r="Q1" s="14"/>
      <c r="R1" s="14"/>
      <c r="S1" s="14"/>
      <c r="W1" s="233"/>
      <c r="Y1" s="28"/>
    </row>
    <row r="2" spans="1:33" s="1" customFormat="1" ht="25.2" customHeight="1" x14ac:dyDescent="0.25">
      <c r="A2" s="109" t="s">
        <v>98</v>
      </c>
      <c r="B2" s="51"/>
      <c r="D2" s="110"/>
      <c r="E2" s="110"/>
      <c r="F2" s="110"/>
      <c r="G2" s="233"/>
      <c r="H2" s="110"/>
      <c r="O2" s="233"/>
      <c r="P2" s="20"/>
      <c r="Q2" s="14"/>
      <c r="R2" s="14"/>
      <c r="W2" s="233"/>
      <c r="Y2" s="20"/>
    </row>
    <row r="3" spans="1:33" s="1" customFormat="1" ht="13.95" customHeight="1" x14ac:dyDescent="0.25">
      <c r="A3" s="111" t="s">
        <v>23</v>
      </c>
      <c r="B3" s="51"/>
      <c r="D3" s="112"/>
      <c r="G3" s="233"/>
      <c r="I3" s="51"/>
      <c r="M3" s="47"/>
      <c r="O3" s="233"/>
      <c r="Q3" s="14"/>
      <c r="R3" s="14"/>
      <c r="W3" s="206"/>
    </row>
    <row r="4" spans="1:33" s="1" customFormat="1" ht="40.200000000000003" customHeight="1" x14ac:dyDescent="0.3">
      <c r="A4" s="106" t="s">
        <v>5</v>
      </c>
      <c r="B4" s="106" t="s">
        <v>6</v>
      </c>
      <c r="C4" s="106" t="s">
        <v>7</v>
      </c>
      <c r="G4" s="241"/>
      <c r="H4" s="3"/>
      <c r="I4" s="106" t="s">
        <v>5</v>
      </c>
      <c r="J4" s="106" t="s">
        <v>6</v>
      </c>
      <c r="K4" s="106" t="s">
        <v>7</v>
      </c>
      <c r="O4" s="241"/>
      <c r="P4" s="35"/>
      <c r="Q4" s="106" t="s">
        <v>5</v>
      </c>
      <c r="R4" s="106" t="s">
        <v>6</v>
      </c>
      <c r="S4" s="106" t="s">
        <v>7</v>
      </c>
      <c r="W4" s="241"/>
      <c r="X4" s="12"/>
      <c r="Y4" s="217"/>
      <c r="AB4" s="6"/>
      <c r="AC4" s="33"/>
      <c r="AD4" s="33"/>
      <c r="AE4" s="33"/>
      <c r="AF4" s="33"/>
      <c r="AG4" s="6"/>
    </row>
    <row r="5" spans="1:33" s="1" customFormat="1" ht="30.6" customHeight="1" x14ac:dyDescent="0.3">
      <c r="A5" s="328" t="s">
        <v>72</v>
      </c>
      <c r="B5" s="329"/>
      <c r="C5" s="329"/>
      <c r="D5" s="329"/>
      <c r="E5" s="329"/>
      <c r="F5" s="330"/>
      <c r="G5" s="241"/>
      <c r="H5" s="3"/>
      <c r="I5" s="328" t="s">
        <v>73</v>
      </c>
      <c r="J5" s="329"/>
      <c r="K5" s="329"/>
      <c r="L5" s="329"/>
      <c r="M5" s="329"/>
      <c r="N5" s="330"/>
      <c r="O5" s="241"/>
      <c r="P5" s="126"/>
      <c r="Q5" s="328" t="s">
        <v>74</v>
      </c>
      <c r="R5" s="329"/>
      <c r="S5" s="329"/>
      <c r="T5" s="329"/>
      <c r="U5" s="329"/>
      <c r="V5" s="330"/>
      <c r="W5" s="241"/>
      <c r="AB5" s="6"/>
      <c r="AC5" s="33"/>
      <c r="AD5" s="33"/>
      <c r="AE5" s="33"/>
      <c r="AF5" s="33"/>
      <c r="AG5" s="36"/>
    </row>
    <row r="6" spans="1:33" s="6" customFormat="1" ht="22.2" customHeight="1" x14ac:dyDescent="0.3">
      <c r="A6" s="120" t="b">
        <f>'BD+C credit category view'!A12</f>
        <v>0</v>
      </c>
      <c r="B6" s="120" t="b">
        <f>'BD+C credit category view'!B12</f>
        <v>0</v>
      </c>
      <c r="C6" s="120" t="b">
        <f>'BD+C credit category view'!C12</f>
        <v>0</v>
      </c>
      <c r="D6" s="225" t="s">
        <v>75</v>
      </c>
      <c r="E6" s="37" t="str">
        <f>'BD+C credit category view'!E12</f>
        <v>IPp3</v>
      </c>
      <c r="F6" s="26" t="s">
        <v>91</v>
      </c>
      <c r="G6" s="233"/>
      <c r="H6" s="3"/>
      <c r="I6" s="120" t="b">
        <f>'BD+C credit category view'!A10</f>
        <v>0</v>
      </c>
      <c r="J6" s="120" t="b">
        <f>'BD+C credit category view'!B10</f>
        <v>0</v>
      </c>
      <c r="K6" s="120" t="b">
        <f>'BD+C credit category view'!C10</f>
        <v>0</v>
      </c>
      <c r="L6" s="21" t="s">
        <v>75</v>
      </c>
      <c r="M6" s="37" t="str">
        <f>'BD+C credit category view'!E10</f>
        <v>IPp1</v>
      </c>
      <c r="N6" s="26" t="s">
        <v>27</v>
      </c>
      <c r="O6" s="233"/>
      <c r="P6" s="23"/>
      <c r="Q6" s="231" t="b">
        <f>A7</f>
        <v>0</v>
      </c>
      <c r="R6" s="231" t="b">
        <f t="shared" ref="R6" si="0">B7</f>
        <v>0</v>
      </c>
      <c r="S6" s="231" t="b">
        <f>C7</f>
        <v>0</v>
      </c>
      <c r="T6" s="21" t="s">
        <v>77</v>
      </c>
      <c r="U6" s="25" t="str">
        <f>'BD+C credit category view'!E13</f>
        <v>IPc1</v>
      </c>
      <c r="V6" s="13" t="s">
        <v>92</v>
      </c>
      <c r="W6" s="233" t="str">
        <f>G7</f>
        <v/>
      </c>
      <c r="AG6" s="36"/>
    </row>
    <row r="7" spans="1:33" s="6" customFormat="1" ht="22.2" customHeight="1" x14ac:dyDescent="0.3">
      <c r="A7" s="121" t="b">
        <f>'BD+C credit category view'!A13&gt;0</f>
        <v>0</v>
      </c>
      <c r="B7" s="121" t="b">
        <f>'BD+C credit category view'!B13&gt;0</f>
        <v>0</v>
      </c>
      <c r="C7" s="121" t="b">
        <f>'BD+C credit category view'!C13&gt;0</f>
        <v>0</v>
      </c>
      <c r="D7" s="21" t="s">
        <v>77</v>
      </c>
      <c r="E7" s="25" t="str">
        <f>'BD+C credit category view'!E13</f>
        <v>IPc1</v>
      </c>
      <c r="F7" s="7" t="s">
        <v>92</v>
      </c>
      <c r="G7" s="232" t="str">
        <f>'BD+C credit category view'!K13</f>
        <v/>
      </c>
      <c r="H7" s="3"/>
      <c r="I7" s="120" t="b">
        <f>'BD+C credit category view'!A11</f>
        <v>0</v>
      </c>
      <c r="J7" s="120" t="b">
        <f>'BD+C credit category view'!B11</f>
        <v>0</v>
      </c>
      <c r="K7" s="120" t="b">
        <f>'BD+C credit category view'!C11</f>
        <v>0</v>
      </c>
      <c r="L7" s="21" t="s">
        <v>75</v>
      </c>
      <c r="M7" s="37" t="str">
        <f>'BD+C credit category view'!E11</f>
        <v>IPp2</v>
      </c>
      <c r="N7" s="26" t="s">
        <v>31</v>
      </c>
      <c r="O7" s="233"/>
      <c r="P7" s="23"/>
      <c r="Q7" s="231" t="b">
        <f>'BD+C credit category view'!A16&gt;0</f>
        <v>0</v>
      </c>
      <c r="R7" s="231" t="b">
        <f>'BD+C credit category view'!B16&gt;0</f>
        <v>0</v>
      </c>
      <c r="S7" s="231" t="b">
        <f>'BD+C credit category view'!C16&gt;0</f>
        <v>0</v>
      </c>
      <c r="T7" s="15" t="s">
        <v>76</v>
      </c>
      <c r="U7" s="25" t="str">
        <f>'BD+C credit category view'!E16</f>
        <v>LTc1</v>
      </c>
      <c r="V7" s="13" t="s">
        <v>95</v>
      </c>
      <c r="W7" s="233" t="str">
        <f>'BD+C credit category view'!K16</f>
        <v/>
      </c>
      <c r="AG7" s="36"/>
    </row>
    <row r="8" spans="1:33" s="6" customFormat="1" ht="22.2" customHeight="1" x14ac:dyDescent="0.3">
      <c r="A8" s="231" t="b">
        <f>'BD+C credit category view'!A18&gt;0</f>
        <v>0</v>
      </c>
      <c r="B8" s="231" t="b">
        <f>'BD+C credit category view'!B18&gt;0</f>
        <v>0</v>
      </c>
      <c r="C8" s="231" t="b">
        <f>'BD+C credit category view'!C18&gt;0</f>
        <v>0</v>
      </c>
      <c r="D8" s="226" t="s">
        <v>148</v>
      </c>
      <c r="E8" s="25" t="str">
        <f>'BD+C credit category view'!E18</f>
        <v>LTc3</v>
      </c>
      <c r="F8" s="7" t="s">
        <v>97</v>
      </c>
      <c r="G8" s="232" t="str">
        <f>'BD+C credit category view'!K18</f>
        <v/>
      </c>
      <c r="H8" s="3"/>
      <c r="I8" s="231" t="b">
        <f>A7</f>
        <v>0</v>
      </c>
      <c r="J8" s="231" t="b">
        <f t="shared" ref="J8:K8" si="1">B7</f>
        <v>0</v>
      </c>
      <c r="K8" s="231" t="b">
        <f t="shared" si="1"/>
        <v>0</v>
      </c>
      <c r="L8" s="21" t="s">
        <v>77</v>
      </c>
      <c r="M8" s="25" t="str">
        <f>'BD+C credit category view'!E13</f>
        <v>IPc1</v>
      </c>
      <c r="N8" s="13" t="s">
        <v>92</v>
      </c>
      <c r="O8" s="233" t="str">
        <f>G7</f>
        <v/>
      </c>
      <c r="P8" s="23"/>
      <c r="Q8" s="231" t="b">
        <f>A8</f>
        <v>0</v>
      </c>
      <c r="R8" s="231" t="b">
        <f t="shared" ref="R8:S8" si="2">B8</f>
        <v>0</v>
      </c>
      <c r="S8" s="231" t="b">
        <f t="shared" si="2"/>
        <v>0</v>
      </c>
      <c r="T8" s="15" t="s">
        <v>76</v>
      </c>
      <c r="U8" s="25" t="str">
        <f>'BD+C credit category view'!E18</f>
        <v>LTc3</v>
      </c>
      <c r="V8" s="13" t="s">
        <v>97</v>
      </c>
      <c r="W8" s="233" t="str">
        <f>G8</f>
        <v/>
      </c>
      <c r="AG8" s="36"/>
    </row>
    <row r="9" spans="1:33" s="6" customFormat="1" ht="22.2" customHeight="1" x14ac:dyDescent="0.3">
      <c r="A9" s="231" t="b">
        <f>'BD+C credit category view'!A19&gt;0</f>
        <v>0</v>
      </c>
      <c r="B9" s="231" t="b">
        <f>'BD+C credit category view'!B19&gt;0</f>
        <v>0</v>
      </c>
      <c r="C9" s="231" t="b">
        <f>'BD+C credit category view'!C19&gt;0</f>
        <v>0</v>
      </c>
      <c r="D9" s="226" t="s">
        <v>148</v>
      </c>
      <c r="E9" s="25" t="str">
        <f>'BD+C credit category view'!E19</f>
        <v>LTc4</v>
      </c>
      <c r="F9" s="7" t="s">
        <v>38</v>
      </c>
      <c r="G9" s="232" t="str">
        <f>'BD+C credit category view'!K19</f>
        <v/>
      </c>
      <c r="H9" s="3"/>
      <c r="I9" s="231" t="b">
        <f>'BD+C credit category view'!A17&gt;0</f>
        <v>0</v>
      </c>
      <c r="J9" s="231" t="b">
        <f>'BD+C credit category view'!B17&gt;0</f>
        <v>0</v>
      </c>
      <c r="K9" s="231" t="b">
        <f>'BD+C credit category view'!C17&gt;0</f>
        <v>0</v>
      </c>
      <c r="L9" s="15" t="s">
        <v>148</v>
      </c>
      <c r="M9" s="25" t="str">
        <f>'BD+C credit category view'!E17</f>
        <v>LTc2</v>
      </c>
      <c r="N9" s="13" t="s">
        <v>96</v>
      </c>
      <c r="O9" s="233" t="str">
        <f>'BD+C credit category view'!K17</f>
        <v/>
      </c>
      <c r="P9" s="23"/>
      <c r="Q9" s="120" t="b">
        <f>'BD+C credit category view'!A23</f>
        <v>0</v>
      </c>
      <c r="R9" s="120" t="b">
        <f>'BD+C credit category view'!B23</f>
        <v>0</v>
      </c>
      <c r="S9" s="120" t="b">
        <f>'BD+C credit category view'!C23</f>
        <v>0</v>
      </c>
      <c r="T9" s="16" t="s">
        <v>154</v>
      </c>
      <c r="U9" s="37" t="str">
        <f>'BD+C credit category view'!E23</f>
        <v>SSp1</v>
      </c>
      <c r="V9" s="26" t="s">
        <v>155</v>
      </c>
      <c r="W9" s="233"/>
      <c r="AG9" s="36"/>
    </row>
    <row r="10" spans="1:33" s="6" customFormat="1" ht="22.2" customHeight="1" x14ac:dyDescent="0.3">
      <c r="A10" s="231" t="b">
        <f>'BD+C credit category view'!A20&gt;0</f>
        <v>0</v>
      </c>
      <c r="B10" s="231" t="b">
        <f>'BD+C credit category view'!B20&gt;0</f>
        <v>0</v>
      </c>
      <c r="C10" s="231" t="b">
        <f>'BD+C credit category view'!C20&gt;0</f>
        <v>0</v>
      </c>
      <c r="D10" s="226" t="s">
        <v>148</v>
      </c>
      <c r="E10" s="25" t="str">
        <f>'BD+C credit category view'!E20</f>
        <v>LTc5</v>
      </c>
      <c r="F10" s="7" t="s">
        <v>40</v>
      </c>
      <c r="G10" s="232" t="str">
        <f>'BD+C credit category view'!K20</f>
        <v/>
      </c>
      <c r="H10" s="3"/>
      <c r="I10" s="231" t="b">
        <f>'BD+C credit category view'!A18&gt;0</f>
        <v>0</v>
      </c>
      <c r="J10" s="231" t="b">
        <f>'BD+C credit category view'!B18&gt;0</f>
        <v>0</v>
      </c>
      <c r="K10" s="231" t="b">
        <f>'BD+C credit category view'!C18&gt;0</f>
        <v>0</v>
      </c>
      <c r="L10" s="15" t="s">
        <v>148</v>
      </c>
      <c r="M10" s="25" t="str">
        <f>'BD+C credit category view'!E18</f>
        <v>LTc3</v>
      </c>
      <c r="N10" s="13" t="s">
        <v>97</v>
      </c>
      <c r="O10" s="233" t="str">
        <f>'BD+C credit category view'!K18</f>
        <v/>
      </c>
      <c r="P10" s="23"/>
      <c r="Q10" s="231" t="b">
        <f>'BD+C credit category view'!A24&gt;0</f>
        <v>0</v>
      </c>
      <c r="R10" s="231" t="b">
        <f>'BD+C credit category view'!B24&gt;0</f>
        <v>0</v>
      </c>
      <c r="S10" s="231" t="b">
        <f>'BD+C credit category view'!C24&gt;0</f>
        <v>0</v>
      </c>
      <c r="T10" s="16" t="s">
        <v>78</v>
      </c>
      <c r="U10" s="25" t="str">
        <f>'BD+C credit category view'!E24</f>
        <v>SSc1</v>
      </c>
      <c r="V10" s="13" t="s">
        <v>105</v>
      </c>
      <c r="W10" s="233" t="str">
        <f>'BD+C credit category view'!K24</f>
        <v/>
      </c>
      <c r="AG10" s="36"/>
    </row>
    <row r="11" spans="1:33" s="6" customFormat="1" ht="22.2" customHeight="1" x14ac:dyDescent="0.3">
      <c r="A11" s="231" t="b">
        <f>'BD+C credit category view'!A28&gt;0</f>
        <v>0</v>
      </c>
      <c r="B11" s="231" t="b">
        <f>'BD+C credit category view'!B28&gt;0</f>
        <v>0</v>
      </c>
      <c r="C11" s="231" t="b">
        <f>'BD+C credit category view'!C28&gt;0</f>
        <v>0</v>
      </c>
      <c r="D11" s="227" t="s">
        <v>78</v>
      </c>
      <c r="E11" s="25" t="str">
        <f>'BD+C credit category view'!E28</f>
        <v>SSc5</v>
      </c>
      <c r="F11" s="7" t="s">
        <v>42</v>
      </c>
      <c r="G11" s="232" t="str">
        <f>'BD+C credit category view'!K28</f>
        <v/>
      </c>
      <c r="H11" s="3"/>
      <c r="I11" s="231" t="b">
        <f>'BD+C credit category view'!A19&gt;0</f>
        <v>0</v>
      </c>
      <c r="J11" s="231" t="b">
        <f>'BD+C credit category view'!B19&gt;0</f>
        <v>0</v>
      </c>
      <c r="K11" s="231" t="b">
        <f>'BD+C credit category view'!C19&gt;0</f>
        <v>0</v>
      </c>
      <c r="L11" s="15" t="s">
        <v>148</v>
      </c>
      <c r="M11" s="25" t="str">
        <f>'BD+C credit category view'!E19</f>
        <v>LTc4</v>
      </c>
      <c r="N11" s="13" t="s">
        <v>38</v>
      </c>
      <c r="O11" s="233" t="str">
        <f>'BD+C credit category view'!K19</f>
        <v/>
      </c>
      <c r="P11" s="23"/>
      <c r="Q11" s="231" t="b">
        <f>'BD+C credit category view'!A25&gt;0</f>
        <v>0</v>
      </c>
      <c r="R11" s="231" t="b">
        <f>'BD+C credit category view'!B25&gt;0</f>
        <v>0</v>
      </c>
      <c r="S11" s="231" t="b">
        <f>'BD+C credit category view'!C25&gt;0</f>
        <v>0</v>
      </c>
      <c r="T11" s="16" t="s">
        <v>78</v>
      </c>
      <c r="U11" s="25" t="str">
        <f>'BD+C credit category view'!E25</f>
        <v>SSc2</v>
      </c>
      <c r="V11" s="13" t="s">
        <v>106</v>
      </c>
      <c r="W11" s="233" t="str">
        <f>'BD+C credit category view'!K25</f>
        <v/>
      </c>
      <c r="AG11" s="36"/>
    </row>
    <row r="12" spans="1:33" s="6" customFormat="1" ht="22.2" customHeight="1" x14ac:dyDescent="0.3">
      <c r="A12" s="120" t="b">
        <f>'BD+C credit category view'!A33</f>
        <v>0</v>
      </c>
      <c r="B12" s="120" t="b">
        <f>'BD+C credit category view'!B33</f>
        <v>0</v>
      </c>
      <c r="C12" s="120" t="b">
        <f>'BD+C credit category view'!C33</f>
        <v>0</v>
      </c>
      <c r="D12" s="228" t="s">
        <v>79</v>
      </c>
      <c r="E12" s="37" t="str">
        <f>'BD+C credit category view'!E33</f>
        <v>WEp2</v>
      </c>
      <c r="F12" s="26" t="s">
        <v>111</v>
      </c>
      <c r="G12" s="233"/>
      <c r="H12" s="3"/>
      <c r="I12" s="231" t="b">
        <f>'BD+C credit category view'!A25&gt;0</f>
        <v>0</v>
      </c>
      <c r="J12" s="231" t="b">
        <f>'BD+C credit category view'!B25&gt;0</f>
        <v>0</v>
      </c>
      <c r="K12" s="231" t="b">
        <f>'BD+C credit category view'!C25&gt;0</f>
        <v>0</v>
      </c>
      <c r="L12" s="16" t="s">
        <v>78</v>
      </c>
      <c r="M12" s="25" t="str">
        <f>'BD+C credit category view'!E25</f>
        <v>SSc2</v>
      </c>
      <c r="N12" s="13" t="s">
        <v>106</v>
      </c>
      <c r="O12" s="233" t="str">
        <f>'BD+C credit category view'!K25</f>
        <v/>
      </c>
      <c r="P12" s="23"/>
      <c r="Q12" s="231" t="b">
        <f>'BD+C credit category view'!A26&gt;0</f>
        <v>0</v>
      </c>
      <c r="R12" s="231" t="b">
        <f>'BD+C credit category view'!B26&gt;0</f>
        <v>0</v>
      </c>
      <c r="S12" s="231" t="b">
        <f>'BD+C credit category view'!C26&gt;0</f>
        <v>0</v>
      </c>
      <c r="T12" s="16" t="s">
        <v>78</v>
      </c>
      <c r="U12" s="25" t="str">
        <f>'BD+C credit category view'!E26</f>
        <v>SSc3</v>
      </c>
      <c r="V12" s="13" t="s">
        <v>107</v>
      </c>
      <c r="W12" s="233" t="str">
        <f>'BD+C credit category view'!K26</f>
        <v/>
      </c>
      <c r="AA12" s="12"/>
    </row>
    <row r="13" spans="1:33" s="6" customFormat="1" ht="22.2" customHeight="1" x14ac:dyDescent="0.3">
      <c r="A13" s="231" t="b">
        <f>'BD+C credit category view'!A34&gt;0</f>
        <v>0</v>
      </c>
      <c r="B13" s="231" t="b">
        <f>'BD+C credit category view'!B34&gt;0</f>
        <v>0</v>
      </c>
      <c r="C13" s="231" t="b">
        <f>'BD+C credit category view'!C34&gt;0</f>
        <v>0</v>
      </c>
      <c r="D13" s="228" t="s">
        <v>80</v>
      </c>
      <c r="E13" s="25" t="str">
        <f>'BD+C credit category view'!E34</f>
        <v>WEc1</v>
      </c>
      <c r="F13" s="7" t="s">
        <v>112</v>
      </c>
      <c r="G13" s="232" t="str">
        <f>'BD+C credit category view'!K34</f>
        <v/>
      </c>
      <c r="H13" s="3"/>
      <c r="I13" s="231" t="b">
        <f>'BD+C credit category view'!A27&gt;0</f>
        <v>0</v>
      </c>
      <c r="J13" s="231" t="b">
        <f>'BD+C credit category view'!B27&gt;0</f>
        <v>0</v>
      </c>
      <c r="K13" s="231" t="b">
        <f>'BD+C credit category view'!C27&gt;0</f>
        <v>0</v>
      </c>
      <c r="L13" s="16" t="s">
        <v>78</v>
      </c>
      <c r="M13" s="25" t="str">
        <f>'BD+C credit category view'!E27</f>
        <v>SSc4</v>
      </c>
      <c r="N13" s="13" t="s">
        <v>108</v>
      </c>
      <c r="O13" s="233" t="str">
        <f>'BD+C credit category view'!K27</f>
        <v/>
      </c>
      <c r="P13" s="23"/>
      <c r="Q13" s="231" t="b">
        <f>'BD+C credit category view'!A27&gt;0</f>
        <v>0</v>
      </c>
      <c r="R13" s="231" t="b">
        <f>'BD+C credit category view'!B27&gt;0</f>
        <v>0</v>
      </c>
      <c r="S13" s="231" t="b">
        <f>'BD+C credit category view'!C27&gt;0</f>
        <v>0</v>
      </c>
      <c r="T13" s="16" t="s">
        <v>78</v>
      </c>
      <c r="U13" s="25" t="str">
        <f>'BD+C credit category view'!E27</f>
        <v>SSc4</v>
      </c>
      <c r="V13" s="13" t="s">
        <v>108</v>
      </c>
      <c r="W13" s="233" t="str">
        <f>'BD+C credit category view'!K27</f>
        <v/>
      </c>
    </row>
    <row r="14" spans="1:33" s="6" customFormat="1" ht="22.2" customHeight="1" x14ac:dyDescent="0.3">
      <c r="A14" s="231" t="b">
        <f>'BD+C credit category view'!A35&gt;0</f>
        <v>0</v>
      </c>
      <c r="B14" s="231" t="b">
        <f>'BD+C credit category view'!B35&gt;0</f>
        <v>0</v>
      </c>
      <c r="C14" s="231" t="b">
        <f>'BD+C credit category view'!C35&gt;0</f>
        <v>0</v>
      </c>
      <c r="D14" s="228" t="s">
        <v>80</v>
      </c>
      <c r="E14" s="25" t="str">
        <f>'BD+C credit category view'!E35</f>
        <v>WEc2</v>
      </c>
      <c r="F14" s="7" t="s">
        <v>113</v>
      </c>
      <c r="G14" s="232" t="str">
        <f>'BD+C credit category view'!K35</f>
        <v/>
      </c>
      <c r="H14" s="3"/>
      <c r="I14" s="231" t="b">
        <f>'BD+C credit category view'!A28&gt;0</f>
        <v>0</v>
      </c>
      <c r="J14" s="231" t="b">
        <f>'BD+C credit category view'!B28&gt;0</f>
        <v>0</v>
      </c>
      <c r="K14" s="231" t="b">
        <f>'BD+C credit category view'!C28&gt;0</f>
        <v>0</v>
      </c>
      <c r="L14" s="16" t="s">
        <v>78</v>
      </c>
      <c r="M14" s="25" t="str">
        <f>'BD+C credit category view'!E28</f>
        <v>SSc5</v>
      </c>
      <c r="N14" s="13" t="s">
        <v>42</v>
      </c>
      <c r="O14" s="233" t="str">
        <f>'BD+C credit category view'!K28</f>
        <v/>
      </c>
      <c r="P14" s="23"/>
      <c r="Q14" s="231" t="b">
        <f>'BD+C credit category view'!A28&gt;0</f>
        <v>0</v>
      </c>
      <c r="R14" s="231" t="b">
        <f>'BD+C credit category view'!B28&gt;0</f>
        <v>0</v>
      </c>
      <c r="S14" s="231" t="b">
        <f>'BD+C credit category view'!C28&gt;0</f>
        <v>0</v>
      </c>
      <c r="T14" s="16" t="s">
        <v>78</v>
      </c>
      <c r="U14" s="25" t="str">
        <f>'BD+C credit category view'!E28</f>
        <v>SSc5</v>
      </c>
      <c r="V14" s="13" t="s">
        <v>42</v>
      </c>
      <c r="W14" s="233" t="str">
        <f>'BD+C credit category view'!K28</f>
        <v/>
      </c>
    </row>
    <row r="15" spans="1:33" s="6" customFormat="1" ht="22.2" customHeight="1" x14ac:dyDescent="0.3">
      <c r="A15" s="120" t="b">
        <f>'BD+C credit category view'!A38</f>
        <v>0</v>
      </c>
      <c r="B15" s="120" t="b">
        <f>'BD+C credit category view'!B38</f>
        <v>0</v>
      </c>
      <c r="C15" s="120" t="b">
        <f>'BD+C credit category view'!C38</f>
        <v>0</v>
      </c>
      <c r="D15" s="229" t="s">
        <v>81</v>
      </c>
      <c r="E15" s="37" t="str">
        <f>'BD+C credit category view'!E38</f>
        <v>EAp1</v>
      </c>
      <c r="F15" s="26" t="s">
        <v>115</v>
      </c>
      <c r="G15" s="233"/>
      <c r="H15" s="3"/>
      <c r="I15" s="231" t="b">
        <f>'BD+C credit category view'!A34&gt;0</f>
        <v>0</v>
      </c>
      <c r="J15" s="231" t="b">
        <f>'BD+C credit category view'!B34&gt;0</f>
        <v>0</v>
      </c>
      <c r="K15" s="231" t="b">
        <f>'BD+C credit category view'!C34&gt;0</f>
        <v>0</v>
      </c>
      <c r="L15" s="17" t="s">
        <v>80</v>
      </c>
      <c r="M15" s="25" t="str">
        <f>'BD+C credit category view'!E34</f>
        <v>WEc1</v>
      </c>
      <c r="N15" s="13" t="s">
        <v>112</v>
      </c>
      <c r="O15" s="233" t="str">
        <f>'BD+C credit category view'!K34</f>
        <v/>
      </c>
      <c r="P15" s="23"/>
      <c r="Q15" s="231" t="b">
        <f>'BD+C credit category view'!A29&gt;0</f>
        <v>0</v>
      </c>
      <c r="R15" s="231" t="b">
        <f>'BD+C credit category view'!B29&gt;0</f>
        <v>0</v>
      </c>
      <c r="S15" s="231" t="b">
        <f>'BD+C credit category view'!C29&gt;0</f>
        <v>0</v>
      </c>
      <c r="T15" s="16" t="s">
        <v>78</v>
      </c>
      <c r="U15" s="25" t="str">
        <f>'BD+C credit category view'!E29</f>
        <v>SSc6</v>
      </c>
      <c r="V15" s="13" t="s">
        <v>109</v>
      </c>
      <c r="W15" s="233" t="str">
        <f>'BD+C credit category view'!K29</f>
        <v/>
      </c>
    </row>
    <row r="16" spans="1:33" s="6" customFormat="1" ht="22.2" customHeight="1" x14ac:dyDescent="0.3">
      <c r="A16" s="120" t="b">
        <f>'BD+C credit category view'!A39</f>
        <v>0</v>
      </c>
      <c r="B16" s="120" t="b">
        <f>'BD+C credit category view'!B39</f>
        <v>0</v>
      </c>
      <c r="C16" s="120" t="b">
        <f>'BD+C credit category view'!C39</f>
        <v>0</v>
      </c>
      <c r="D16" s="229" t="s">
        <v>81</v>
      </c>
      <c r="E16" s="37" t="str">
        <f>'BD+C credit category view'!E39</f>
        <v>EAp2</v>
      </c>
      <c r="F16" s="26" t="s">
        <v>116</v>
      </c>
      <c r="G16" s="233"/>
      <c r="H16" s="3"/>
      <c r="I16" s="231" t="b">
        <f>'BD+C credit category view'!A56&gt;0</f>
        <v>0</v>
      </c>
      <c r="J16" s="231" t="b">
        <f>'BD+C credit category view'!B56&gt;0</f>
        <v>0</v>
      </c>
      <c r="K16" s="231" t="b">
        <f>'BD+C credit category view'!C56&gt;0</f>
        <v>0</v>
      </c>
      <c r="L16" s="18" t="s">
        <v>83</v>
      </c>
      <c r="M16" s="25" t="str">
        <f>'BD+C credit category view'!E56</f>
        <v>MRc3</v>
      </c>
      <c r="N16" s="13" t="s">
        <v>151</v>
      </c>
      <c r="O16" s="233" t="str">
        <f>'BD+C credit category view'!K56</f>
        <v/>
      </c>
      <c r="P16" s="23"/>
      <c r="Q16" s="120" t="b">
        <f>'BD+C credit category view'!A32</f>
        <v>0</v>
      </c>
      <c r="R16" s="120" t="b">
        <f>'BD+C credit category view'!B32</f>
        <v>0</v>
      </c>
      <c r="S16" s="120" t="b">
        <f>'BD+C credit category view'!C32</f>
        <v>0</v>
      </c>
      <c r="T16" s="17" t="s">
        <v>79</v>
      </c>
      <c r="U16" s="37" t="str">
        <f>'BD+C credit category view'!E32</f>
        <v>WEp1</v>
      </c>
      <c r="V16" s="26" t="s">
        <v>156</v>
      </c>
      <c r="W16" s="233"/>
    </row>
    <row r="17" spans="1:31" s="6" customFormat="1" ht="22.2" customHeight="1" x14ac:dyDescent="0.3">
      <c r="A17" s="120" t="b">
        <f>'BD+C credit category view'!A40</f>
        <v>0</v>
      </c>
      <c r="B17" s="120" t="b">
        <f>'BD+C credit category view'!B40</f>
        <v>0</v>
      </c>
      <c r="C17" s="120" t="b">
        <f>'BD+C credit category view'!C40</f>
        <v>0</v>
      </c>
      <c r="D17" s="229" t="s">
        <v>81</v>
      </c>
      <c r="E17" s="37" t="str">
        <f>'BD+C credit category view'!E40</f>
        <v>EAp3</v>
      </c>
      <c r="F17" s="26" t="s">
        <v>117</v>
      </c>
      <c r="G17" s="233"/>
      <c r="H17" s="3"/>
      <c r="I17" s="231" t="b">
        <f>'BD+C credit category view'!A57&gt;0</f>
        <v>0</v>
      </c>
      <c r="J17" s="231" t="b">
        <f>'BD+C credit category view'!B57&gt;0</f>
        <v>0</v>
      </c>
      <c r="K17" s="231" t="b">
        <f>'BD+C credit category view'!C57&gt;0</f>
        <v>0</v>
      </c>
      <c r="L17" s="18" t="s">
        <v>83</v>
      </c>
      <c r="M17" s="25" t="str">
        <f>'BD+C credit category view'!E57</f>
        <v>MRc4</v>
      </c>
      <c r="N17" s="13" t="s">
        <v>150</v>
      </c>
      <c r="O17" s="233" t="str">
        <f>'BD+C credit category view'!K57</f>
        <v/>
      </c>
      <c r="P17" s="23"/>
      <c r="Q17" s="120" t="b">
        <f>'BD+C credit category view'!A33</f>
        <v>0</v>
      </c>
      <c r="R17" s="120" t="b">
        <f>'BD+C credit category view'!B33</f>
        <v>0</v>
      </c>
      <c r="S17" s="120" t="b">
        <f>'BD+C credit category view'!C33</f>
        <v>0</v>
      </c>
      <c r="T17" s="17" t="s">
        <v>79</v>
      </c>
      <c r="U17" s="37" t="str">
        <f>'BD+C credit category view'!E33</f>
        <v>WEp2</v>
      </c>
      <c r="V17" s="26" t="s">
        <v>111</v>
      </c>
      <c r="W17" s="233"/>
    </row>
    <row r="18" spans="1:31" s="6" customFormat="1" ht="22.2" customHeight="1" x14ac:dyDescent="0.3">
      <c r="A18" s="120" t="b">
        <f>'BD+C credit category view'!A41</f>
        <v>0</v>
      </c>
      <c r="B18" s="120" t="b">
        <f>'BD+C credit category view'!B41</f>
        <v>0</v>
      </c>
      <c r="C18" s="120" t="b">
        <f>'BD+C credit category view'!C41</f>
        <v>0</v>
      </c>
      <c r="D18" s="229" t="s">
        <v>81</v>
      </c>
      <c r="E18" s="37" t="str">
        <f>'BD+C credit category view'!E41</f>
        <v>EAp4</v>
      </c>
      <c r="F18" s="26" t="s">
        <v>118</v>
      </c>
      <c r="G18" s="233"/>
      <c r="H18" s="3"/>
      <c r="I18" s="120" t="b">
        <f>'BD+C credit category view'!A61</f>
        <v>0</v>
      </c>
      <c r="J18" s="120" t="b">
        <f>'BD+C credit category view'!B61</f>
        <v>0</v>
      </c>
      <c r="K18" s="120" t="b">
        <f>'BD+C credit category view'!C61</f>
        <v>0</v>
      </c>
      <c r="L18" s="22" t="s">
        <v>82</v>
      </c>
      <c r="M18" s="37" t="str">
        <f>'BD+C credit category view'!E61</f>
        <v>EQp1</v>
      </c>
      <c r="N18" s="26" t="s">
        <v>152</v>
      </c>
      <c r="O18" s="233"/>
      <c r="P18" s="10"/>
      <c r="Q18" s="231" t="b">
        <f>A13</f>
        <v>0</v>
      </c>
      <c r="R18" s="231" t="b">
        <f t="shared" ref="R18:S18" si="3">B13</f>
        <v>0</v>
      </c>
      <c r="S18" s="231" t="b">
        <f t="shared" si="3"/>
        <v>0</v>
      </c>
      <c r="T18" s="17" t="s">
        <v>80</v>
      </c>
      <c r="U18" s="25" t="str">
        <f>'BD+C credit category view'!E34</f>
        <v>WEc1</v>
      </c>
      <c r="V18" s="13" t="s">
        <v>112</v>
      </c>
      <c r="W18" s="233" t="str">
        <f>G13</f>
        <v/>
      </c>
      <c r="Y18" s="29"/>
    </row>
    <row r="19" spans="1:31" s="6" customFormat="1" ht="22.2" customHeight="1" x14ac:dyDescent="0.3">
      <c r="A19" s="120" t="b">
        <f>'BD+C credit category view'!A42</f>
        <v>0</v>
      </c>
      <c r="B19" s="120" t="b">
        <f>'BD+C credit category view'!B42</f>
        <v>0</v>
      </c>
      <c r="C19" s="120" t="b">
        <f>'BD+C credit category view'!C42</f>
        <v>0</v>
      </c>
      <c r="D19" s="229" t="s">
        <v>81</v>
      </c>
      <c r="E19" s="37" t="str">
        <f>'BD+C credit category view'!E42</f>
        <v>EAp5</v>
      </c>
      <c r="F19" s="26" t="s">
        <v>52</v>
      </c>
      <c r="G19" s="233"/>
      <c r="H19" s="3"/>
      <c r="I19" s="120" t="b">
        <f>'BD+C credit category view'!A62</f>
        <v>0</v>
      </c>
      <c r="J19" s="120" t="b">
        <f>'BD+C credit category view'!B62</f>
        <v>0</v>
      </c>
      <c r="K19" s="120" t="b">
        <f>'BD+C credit category view'!C62</f>
        <v>0</v>
      </c>
      <c r="L19" s="22" t="s">
        <v>82</v>
      </c>
      <c r="M19" s="37" t="str">
        <f>'BD+C credit category view'!E62</f>
        <v>EQp2</v>
      </c>
      <c r="N19" s="26" t="s">
        <v>140</v>
      </c>
      <c r="O19" s="233"/>
      <c r="P19" s="10"/>
      <c r="Q19" s="231" t="b">
        <f>A14</f>
        <v>0</v>
      </c>
      <c r="R19" s="231" t="b">
        <f t="shared" ref="R19:S19" si="4">B14</f>
        <v>0</v>
      </c>
      <c r="S19" s="231" t="b">
        <f t="shared" si="4"/>
        <v>0</v>
      </c>
      <c r="T19" s="17" t="s">
        <v>80</v>
      </c>
      <c r="U19" s="25" t="str">
        <f>'BD+C credit category view'!E35</f>
        <v>WEc2</v>
      </c>
      <c r="V19" s="13" t="s">
        <v>113</v>
      </c>
      <c r="W19" s="233" t="str">
        <f>G14</f>
        <v/>
      </c>
      <c r="X19" s="11"/>
      <c r="Y19" s="30"/>
    </row>
    <row r="20" spans="1:31" s="6" customFormat="1" ht="22.2" customHeight="1" x14ac:dyDescent="0.3">
      <c r="A20" s="231" t="b">
        <f>'BD+C credit category view'!A43&gt;0</f>
        <v>0</v>
      </c>
      <c r="B20" s="231" t="b">
        <f>'BD+C credit category view'!B43&gt;0</f>
        <v>0</v>
      </c>
      <c r="C20" s="231" t="b">
        <f>'BD+C credit category view'!C43&gt;0</f>
        <v>0</v>
      </c>
      <c r="D20" s="229" t="s">
        <v>85</v>
      </c>
      <c r="E20" s="25" t="str">
        <f>'BD+C credit category view'!E43</f>
        <v>EAc1</v>
      </c>
      <c r="F20" s="7" t="s">
        <v>119</v>
      </c>
      <c r="G20" s="233" t="str">
        <f>'BD+C credit category view'!K43</f>
        <v/>
      </c>
      <c r="H20" s="3"/>
      <c r="I20" s="120" t="b">
        <f>'BD+C credit category view'!A63</f>
        <v>0</v>
      </c>
      <c r="J20" s="120" t="b">
        <f>'BD+C credit category view'!B63</f>
        <v>0</v>
      </c>
      <c r="K20" s="120" t="b">
        <f>'BD+C credit category view'!C63</f>
        <v>0</v>
      </c>
      <c r="L20" s="22" t="s">
        <v>82</v>
      </c>
      <c r="M20" s="37" t="str">
        <f>'BD+C credit category view'!E63</f>
        <v>EQp3</v>
      </c>
      <c r="N20" s="26" t="s">
        <v>141</v>
      </c>
      <c r="O20" s="233"/>
      <c r="P20" s="10"/>
      <c r="Q20" s="120" t="b">
        <f>A27</f>
        <v>0</v>
      </c>
      <c r="R20" s="120" t="b">
        <f t="shared" ref="R20:S20" si="5">B27</f>
        <v>0</v>
      </c>
      <c r="S20" s="120" t="b">
        <f t="shared" si="5"/>
        <v>0</v>
      </c>
      <c r="T20" s="18" t="s">
        <v>149</v>
      </c>
      <c r="U20" s="37" t="str">
        <f>'BD+C credit category view'!E52</f>
        <v>MRp1</v>
      </c>
      <c r="V20" s="26" t="s">
        <v>131</v>
      </c>
      <c r="W20" s="233"/>
      <c r="X20" s="11"/>
      <c r="Y20" s="30"/>
    </row>
    <row r="21" spans="1:31" s="6" customFormat="1" ht="22.2" customHeight="1" x14ac:dyDescent="0.3">
      <c r="A21" s="231" t="b">
        <f>'BD+C credit category view'!A44&gt;0</f>
        <v>0</v>
      </c>
      <c r="B21" s="231" t="b">
        <f>'BD+C credit category view'!B44&gt;0</f>
        <v>0</v>
      </c>
      <c r="C21" s="231" t="b">
        <f>'BD+C credit category view'!C44&gt;0</f>
        <v>0</v>
      </c>
      <c r="D21" s="229" t="s">
        <v>85</v>
      </c>
      <c r="E21" s="25" t="str">
        <f>'BD+C credit category view'!E44</f>
        <v>EAc2</v>
      </c>
      <c r="F21" s="7" t="s">
        <v>120</v>
      </c>
      <c r="G21" s="233" t="str">
        <f>'BD+C credit category view'!K44</f>
        <v/>
      </c>
      <c r="H21" s="3"/>
      <c r="I21" s="231" t="b">
        <f>'BD+C credit category view'!A64&gt;0</f>
        <v>0</v>
      </c>
      <c r="J21" s="231" t="b">
        <f>'BD+C credit category view'!B64&gt;0</f>
        <v>0</v>
      </c>
      <c r="K21" s="231" t="b">
        <f>'BD+C credit category view'!C64&gt;0</f>
        <v>0</v>
      </c>
      <c r="L21" s="22" t="s">
        <v>84</v>
      </c>
      <c r="M21" s="25" t="str">
        <f>'BD+C credit category view'!E64</f>
        <v>EQc1</v>
      </c>
      <c r="N21" s="13" t="s">
        <v>142</v>
      </c>
      <c r="O21" s="233" t="str">
        <f>'BD+C credit category view'!K64</f>
        <v/>
      </c>
      <c r="P21" s="10"/>
      <c r="Q21" s="231" t="b">
        <f>A29</f>
        <v>0</v>
      </c>
      <c r="R21" s="231" t="b">
        <f t="shared" ref="R21:S21" si="6">B29</f>
        <v>0</v>
      </c>
      <c r="S21" s="231" t="b">
        <f t="shared" si="6"/>
        <v>0</v>
      </c>
      <c r="T21" s="18" t="s">
        <v>83</v>
      </c>
      <c r="U21" s="25" t="str">
        <f>'BD+C credit category view'!E54</f>
        <v>MRc1</v>
      </c>
      <c r="V21" s="13" t="s">
        <v>133</v>
      </c>
      <c r="W21" s="233" t="str">
        <f>G29</f>
        <v/>
      </c>
      <c r="X21" s="11"/>
      <c r="Y21" s="30"/>
    </row>
    <row r="22" spans="1:31" s="6" customFormat="1" ht="22.2" customHeight="1" x14ac:dyDescent="0.3">
      <c r="A22" s="231" t="b">
        <f>'BD+C credit category view'!A45&gt;0</f>
        <v>0</v>
      </c>
      <c r="B22" s="231" t="b">
        <f>'BD+C credit category view'!B45&gt;0</f>
        <v>0</v>
      </c>
      <c r="C22" s="231" t="b">
        <f>'BD+C credit category view'!C45&gt;0</f>
        <v>0</v>
      </c>
      <c r="D22" s="229" t="s">
        <v>85</v>
      </c>
      <c r="E22" s="25" t="str">
        <f>'BD+C credit category view'!E45</f>
        <v>EAc3</v>
      </c>
      <c r="F22" s="7" t="s">
        <v>121</v>
      </c>
      <c r="G22" s="233" t="str">
        <f>'BD+C credit category view'!K45</f>
        <v/>
      </c>
      <c r="H22" s="3"/>
      <c r="I22" s="231" t="b">
        <f>'BD+C credit category view'!A65&gt;0</f>
        <v>0</v>
      </c>
      <c r="J22" s="231" t="b">
        <f>'BD+C credit category view'!B65&gt;0</f>
        <v>0</v>
      </c>
      <c r="K22" s="231" t="b">
        <f>'BD+C credit category view'!C65&gt;0</f>
        <v>0</v>
      </c>
      <c r="L22" s="22" t="s">
        <v>84</v>
      </c>
      <c r="M22" s="25" t="str">
        <f>'BD+C credit category view'!E65</f>
        <v>EQc2</v>
      </c>
      <c r="N22" s="13" t="s">
        <v>143</v>
      </c>
      <c r="O22" s="233" t="str">
        <f>'BD+C credit category view'!K65</f>
        <v/>
      </c>
      <c r="P22" s="10"/>
      <c r="Q22" s="231" t="b">
        <f>A31</f>
        <v>0</v>
      </c>
      <c r="R22" s="231" t="b">
        <f t="shared" ref="R22:S22" si="7">B31</f>
        <v>0</v>
      </c>
      <c r="S22" s="231" t="b">
        <f t="shared" si="7"/>
        <v>0</v>
      </c>
      <c r="T22" s="18" t="s">
        <v>83</v>
      </c>
      <c r="U22" s="25" t="str">
        <f>'BD+C credit category view'!E57</f>
        <v>MRc4</v>
      </c>
      <c r="V22" s="13" t="s">
        <v>150</v>
      </c>
      <c r="W22" s="233" t="str">
        <f>G31</f>
        <v/>
      </c>
      <c r="X22" s="11"/>
      <c r="Y22" s="30"/>
    </row>
    <row r="23" spans="1:31" s="6" customFormat="1" ht="22.2" customHeight="1" x14ac:dyDescent="0.3">
      <c r="A23" s="231" t="b">
        <f>'BD+C credit category view'!A46&gt;0</f>
        <v>0</v>
      </c>
      <c r="B23" s="231" t="b">
        <f>'BD+C credit category view'!B46&gt;0</f>
        <v>0</v>
      </c>
      <c r="C23" s="231" t="b">
        <f>'BD+C credit category view'!C46&gt;0</f>
        <v>0</v>
      </c>
      <c r="D23" s="229" t="s">
        <v>85</v>
      </c>
      <c r="E23" s="25" t="str">
        <f>'BD+C credit category view'!E46</f>
        <v>EAc4</v>
      </c>
      <c r="F23" s="7" t="s">
        <v>122</v>
      </c>
      <c r="G23" s="233" t="str">
        <f>'BD+C credit category view'!K46</f>
        <v/>
      </c>
      <c r="H23" s="3"/>
      <c r="I23" s="231" t="b">
        <f>'BD+C credit category view'!A66&gt;0</f>
        <v>0</v>
      </c>
      <c r="J23" s="231" t="b">
        <f>'BD+C credit category view'!B66&gt;0</f>
        <v>0</v>
      </c>
      <c r="K23" s="231" t="b">
        <f>'BD+C credit category view'!C66&gt;0</f>
        <v>0</v>
      </c>
      <c r="L23" s="22" t="s">
        <v>84</v>
      </c>
      <c r="M23" s="25" t="str">
        <f>'BD+C credit category view'!E66</f>
        <v>EQc3</v>
      </c>
      <c r="N23" s="13" t="s">
        <v>153</v>
      </c>
      <c r="O23" s="233" t="str">
        <f>'BD+C credit category view'!K66</f>
        <v/>
      </c>
      <c r="P23" s="10"/>
      <c r="Q23" s="231" t="b">
        <f>A32</f>
        <v>0</v>
      </c>
      <c r="R23" s="231" t="b">
        <f t="shared" ref="R23:S23" si="8">B32</f>
        <v>0</v>
      </c>
      <c r="S23" s="231" t="b">
        <f t="shared" si="8"/>
        <v>0</v>
      </c>
      <c r="T23" s="18" t="s">
        <v>83</v>
      </c>
      <c r="U23" s="25" t="str">
        <f>'BD+C credit category view'!E58</f>
        <v>MRc5</v>
      </c>
      <c r="V23" s="13" t="s">
        <v>137</v>
      </c>
      <c r="W23" s="233" t="str">
        <f>G32</f>
        <v/>
      </c>
      <c r="X23" s="11"/>
      <c r="Y23" s="30"/>
    </row>
    <row r="24" spans="1:31" s="6" customFormat="1" ht="22.2" customHeight="1" x14ac:dyDescent="0.3">
      <c r="A24" s="231" t="b">
        <f>'BD+C credit category view'!A47&gt;0</f>
        <v>0</v>
      </c>
      <c r="B24" s="231" t="b">
        <f>'BD+C credit category view'!B47&gt;0</f>
        <v>0</v>
      </c>
      <c r="C24" s="231" t="b">
        <f>'BD+C credit category view'!C47&gt;0</f>
        <v>0</v>
      </c>
      <c r="D24" s="229" t="s">
        <v>85</v>
      </c>
      <c r="E24" s="25" t="str">
        <f>'BD+C credit category view'!E47</f>
        <v>EAc5</v>
      </c>
      <c r="F24" s="7" t="s">
        <v>123</v>
      </c>
      <c r="G24" s="233" t="str">
        <f>'BD+C credit category view'!K47</f>
        <v/>
      </c>
      <c r="H24" s="3"/>
      <c r="I24" s="231" t="b">
        <f>'BD+C credit category view'!A67&gt;0</f>
        <v>0</v>
      </c>
      <c r="J24" s="231" t="b">
        <f>'BD+C credit category view'!B67&gt;0</f>
        <v>0</v>
      </c>
      <c r="K24" s="231" t="b">
        <f>'BD+C credit category view'!C67&gt;0</f>
        <v>0</v>
      </c>
      <c r="L24" s="22" t="s">
        <v>84</v>
      </c>
      <c r="M24" s="25" t="str">
        <f>'BD+C credit category view'!E67</f>
        <v>EQc4</v>
      </c>
      <c r="N24" s="13" t="s">
        <v>69</v>
      </c>
      <c r="O24" s="233" t="str">
        <f>'BD+C credit category view'!K67</f>
        <v/>
      </c>
      <c r="P24" s="10"/>
      <c r="Q24" s="120" t="b">
        <f>'BD+C credit category view'!A63</f>
        <v>0</v>
      </c>
      <c r="R24" s="120" t="b">
        <f>'BD+C credit category view'!B63</f>
        <v>0</v>
      </c>
      <c r="S24" s="120" t="b">
        <f>'BD+C credit category view'!C63</f>
        <v>0</v>
      </c>
      <c r="T24" s="22" t="s">
        <v>82</v>
      </c>
      <c r="U24" s="37" t="str">
        <f>'BD+C credit category view'!E63</f>
        <v>EQp3</v>
      </c>
      <c r="V24" s="26" t="s">
        <v>141</v>
      </c>
      <c r="W24" s="234"/>
      <c r="X24" s="9"/>
      <c r="Y24" s="30"/>
    </row>
    <row r="25" spans="1:31" s="6" customFormat="1" ht="22.2" customHeight="1" x14ac:dyDescent="0.3">
      <c r="A25" s="231" t="b">
        <f>'BD+C credit category view'!A48&gt;0</f>
        <v>0</v>
      </c>
      <c r="B25" s="231" t="b">
        <f>'BD+C credit category view'!B48&gt;0</f>
        <v>0</v>
      </c>
      <c r="C25" s="231" t="b">
        <f>'BD+C credit category view'!C48&gt;0</f>
        <v>0</v>
      </c>
      <c r="D25" s="229" t="s">
        <v>85</v>
      </c>
      <c r="E25" s="25" t="str">
        <f>'BD+C credit category view'!E48</f>
        <v>EAc6</v>
      </c>
      <c r="F25" s="7" t="s">
        <v>124</v>
      </c>
      <c r="G25" s="233" t="str">
        <f>'BD+C credit category view'!K48</f>
        <v/>
      </c>
      <c r="H25" s="3"/>
      <c r="I25" s="231" t="b">
        <f>'BD+C credit category view'!A68&gt;0</f>
        <v>0</v>
      </c>
      <c r="J25" s="231" t="b">
        <f>'BD+C credit category view'!B68&gt;0</f>
        <v>0</v>
      </c>
      <c r="K25" s="231" t="b">
        <f>'BD+C credit category view'!C68&gt;0</f>
        <v>0</v>
      </c>
      <c r="L25" s="22" t="s">
        <v>84</v>
      </c>
      <c r="M25" s="25" t="str">
        <f>'BD+C credit category view'!E68</f>
        <v>EQc5</v>
      </c>
      <c r="N25" s="13" t="s">
        <v>145</v>
      </c>
      <c r="O25" s="233" t="str">
        <f>'BD+C credit category view'!K68</f>
        <v/>
      </c>
      <c r="Q25" s="24"/>
      <c r="R25" s="24"/>
      <c r="S25" s="24"/>
      <c r="W25" s="234"/>
      <c r="X25" s="8"/>
      <c r="Y25" s="30"/>
    </row>
    <row r="26" spans="1:31" s="6" customFormat="1" ht="22.2" customHeight="1" x14ac:dyDescent="0.3">
      <c r="A26" s="231" t="b">
        <f>'BD+C credit category view'!A49&gt;0</f>
        <v>0</v>
      </c>
      <c r="B26" s="231" t="b">
        <f>'BD+C credit category view'!B49&gt;0</f>
        <v>0</v>
      </c>
      <c r="C26" s="231" t="b">
        <f>'BD+C credit category view'!C49&gt;0</f>
        <v>0</v>
      </c>
      <c r="D26" s="229" t="s">
        <v>85</v>
      </c>
      <c r="E26" s="25" t="str">
        <f>'BD+C credit category view'!E49</f>
        <v>EAc7</v>
      </c>
      <c r="F26" s="7" t="s">
        <v>125</v>
      </c>
      <c r="G26" s="233" t="str">
        <f>'BD+C credit category view'!K49</f>
        <v/>
      </c>
      <c r="H26" s="3"/>
      <c r="I26" s="24"/>
      <c r="J26" s="24"/>
      <c r="K26" s="24"/>
      <c r="O26" s="234"/>
      <c r="T26" s="106"/>
      <c r="W26" s="234"/>
    </row>
    <row r="27" spans="1:31" s="6" customFormat="1" ht="22.2" customHeight="1" x14ac:dyDescent="0.3">
      <c r="A27" s="120" t="b">
        <f>'BD+C credit category view'!A52</f>
        <v>0</v>
      </c>
      <c r="B27" s="120" t="b">
        <f>'BD+C credit category view'!B52</f>
        <v>0</v>
      </c>
      <c r="C27" s="120" t="b">
        <f>'BD+C credit category view'!C52</f>
        <v>0</v>
      </c>
      <c r="D27" s="230" t="s">
        <v>149</v>
      </c>
      <c r="E27" s="37" t="str">
        <f>'BD+C credit category view'!E52</f>
        <v>MRp1</v>
      </c>
      <c r="F27" s="26" t="s">
        <v>131</v>
      </c>
      <c r="G27" s="234"/>
      <c r="H27" s="3"/>
      <c r="M27" s="33"/>
      <c r="N27" s="33"/>
      <c r="O27" s="242"/>
      <c r="W27" s="242"/>
    </row>
    <row r="28" spans="1:31" s="6" customFormat="1" ht="22.2" customHeight="1" x14ac:dyDescent="0.3">
      <c r="A28" s="120" t="b">
        <f>'BD+C credit category view'!A53</f>
        <v>0</v>
      </c>
      <c r="B28" s="120" t="b">
        <f>'BD+C credit category view'!B53</f>
        <v>0</v>
      </c>
      <c r="C28" s="120" t="b">
        <f>'BD+C credit category view'!C53</f>
        <v>0</v>
      </c>
      <c r="D28" s="230" t="s">
        <v>149</v>
      </c>
      <c r="E28" s="37" t="str">
        <f>'BD+C credit category view'!E53</f>
        <v>MRp2</v>
      </c>
      <c r="F28" s="26" t="s">
        <v>132</v>
      </c>
      <c r="G28" s="235"/>
      <c r="H28" s="34"/>
      <c r="M28" s="34"/>
      <c r="N28" s="34"/>
      <c r="O28" s="235"/>
      <c r="P28" s="34"/>
      <c r="W28" s="235"/>
      <c r="AA28" s="34"/>
      <c r="AB28" s="34"/>
      <c r="AC28" s="34"/>
      <c r="AD28" s="34"/>
      <c r="AE28" s="34"/>
    </row>
    <row r="29" spans="1:31" ht="22.2" customHeight="1" x14ac:dyDescent="0.3">
      <c r="A29" s="231" t="b">
        <f>'BD+C credit category view'!A54&gt;0</f>
        <v>0</v>
      </c>
      <c r="B29" s="231" t="b">
        <f>'BD+C credit category view'!B54&gt;0</f>
        <v>0</v>
      </c>
      <c r="C29" s="231" t="b">
        <f>'BD+C credit category view'!C54&gt;0</f>
        <v>0</v>
      </c>
      <c r="D29" s="230" t="s">
        <v>83</v>
      </c>
      <c r="E29" s="25" t="str">
        <f>'BD+C credit category view'!E54</f>
        <v>MRc1</v>
      </c>
      <c r="F29" s="7" t="s">
        <v>133</v>
      </c>
      <c r="G29" s="233" t="str">
        <f>'BD+C credit category view'!K54</f>
        <v/>
      </c>
      <c r="H29" s="34"/>
      <c r="I29" s="106"/>
      <c r="J29" s="106"/>
      <c r="K29" s="106"/>
      <c r="L29" s="106"/>
      <c r="M29" s="34"/>
      <c r="N29" s="34"/>
      <c r="O29" s="235"/>
      <c r="P29" s="34"/>
      <c r="Q29" s="106"/>
      <c r="R29" s="106"/>
      <c r="S29" s="106"/>
      <c r="T29" s="34"/>
      <c r="W29" s="235"/>
      <c r="X29" s="3"/>
      <c r="Y29" s="3"/>
      <c r="AA29" s="34"/>
      <c r="AB29" s="34"/>
      <c r="AC29" s="34"/>
      <c r="AD29" s="34"/>
      <c r="AE29" s="34"/>
    </row>
    <row r="30" spans="1:31" ht="22.2" customHeight="1" x14ac:dyDescent="0.3">
      <c r="A30" s="231" t="b">
        <f>'BD+C credit category view'!A55&gt;0</f>
        <v>0</v>
      </c>
      <c r="B30" s="231" t="b">
        <f>'BD+C credit category view'!B55&gt;0</f>
        <v>0</v>
      </c>
      <c r="C30" s="231" t="b">
        <f>'BD+C credit category view'!C55&gt;0</f>
        <v>0</v>
      </c>
      <c r="D30" s="230" t="s">
        <v>83</v>
      </c>
      <c r="E30" s="25" t="str">
        <f>'BD+C credit category view'!E55</f>
        <v>MRc2</v>
      </c>
      <c r="F30" s="7" t="s">
        <v>134</v>
      </c>
      <c r="G30" s="233" t="str">
        <f>'BD+C credit category view'!K55</f>
        <v/>
      </c>
      <c r="H30" s="34"/>
      <c r="I30" s="34"/>
      <c r="J30" s="34"/>
      <c r="K30" s="34"/>
      <c r="L30" s="34"/>
      <c r="M30" s="32"/>
      <c r="N30" s="32"/>
      <c r="O30" s="242"/>
      <c r="P30" s="31"/>
      <c r="Q30" s="34"/>
      <c r="R30" s="34"/>
      <c r="S30" s="34"/>
      <c r="T30" s="34"/>
      <c r="W30" s="242"/>
      <c r="X30" s="3"/>
      <c r="Y30" s="3"/>
    </row>
    <row r="31" spans="1:31" s="6" customFormat="1" ht="22.2" customHeight="1" x14ac:dyDescent="0.3">
      <c r="A31" s="231" t="b">
        <f>'BD+C credit category view'!A57&gt;0</f>
        <v>0</v>
      </c>
      <c r="B31" s="231" t="b">
        <f>'BD+C credit category view'!B57&gt;0</f>
        <v>0</v>
      </c>
      <c r="C31" s="231" t="b">
        <f>'BD+C credit category view'!C57&gt;0</f>
        <v>0</v>
      </c>
      <c r="D31" s="230" t="s">
        <v>83</v>
      </c>
      <c r="E31" s="25" t="str">
        <f>'BD+C credit category view'!E57</f>
        <v>MRc4</v>
      </c>
      <c r="F31" s="7" t="s">
        <v>150</v>
      </c>
      <c r="G31" s="233" t="str">
        <f>'BD+C credit category view'!K57</f>
        <v/>
      </c>
      <c r="H31" s="34"/>
      <c r="I31" s="131"/>
      <c r="J31" s="132"/>
      <c r="K31" s="132"/>
      <c r="L31" s="132"/>
      <c r="M31" s="132"/>
      <c r="N31" s="133"/>
      <c r="O31" s="235"/>
      <c r="P31" s="34"/>
      <c r="Q31" s="134"/>
      <c r="R31" s="135"/>
      <c r="S31" s="135"/>
      <c r="T31" s="135"/>
      <c r="U31" s="135"/>
      <c r="V31" s="136"/>
      <c r="W31" s="235"/>
      <c r="AA31" s="34"/>
      <c r="AB31" s="34"/>
      <c r="AC31" s="34"/>
    </row>
    <row r="32" spans="1:31" ht="22.2" customHeight="1" x14ac:dyDescent="0.3">
      <c r="A32" s="231" t="b">
        <f>'BD+C credit category view'!A58&gt;0</f>
        <v>0</v>
      </c>
      <c r="B32" s="231" t="b">
        <f>'BD+C credit category view'!B58&gt;0</f>
        <v>0</v>
      </c>
      <c r="C32" s="231" t="b">
        <f>'BD+C credit category view'!C58&gt;0</f>
        <v>0</v>
      </c>
      <c r="D32" s="230" t="s">
        <v>83</v>
      </c>
      <c r="E32" s="25" t="str">
        <f>'BD+C credit category view'!E58</f>
        <v>MRc5</v>
      </c>
      <c r="F32" s="7" t="s">
        <v>137</v>
      </c>
      <c r="G32" s="233" t="str">
        <f>'BD+C credit category view'!K58</f>
        <v/>
      </c>
      <c r="H32" s="34"/>
      <c r="I32" s="34"/>
      <c r="J32" s="34"/>
      <c r="K32" s="34"/>
      <c r="L32" s="34"/>
      <c r="M32" s="34"/>
      <c r="N32" s="34"/>
      <c r="O32" s="235"/>
      <c r="P32" s="34"/>
      <c r="Q32" s="34"/>
      <c r="R32" s="34"/>
      <c r="S32" s="34"/>
      <c r="T32" s="34"/>
      <c r="U32" s="34"/>
      <c r="V32" s="34"/>
      <c r="W32" s="235"/>
      <c r="X32" s="34"/>
      <c r="Y32" s="34"/>
      <c r="Z32" s="34"/>
      <c r="AA32" s="34"/>
      <c r="AB32" s="34"/>
      <c r="AC32" s="34"/>
    </row>
    <row r="33" spans="4:29" ht="22.2" customHeight="1" x14ac:dyDescent="0.3">
      <c r="F33" s="34"/>
      <c r="G33" s="235"/>
      <c r="H33" s="34"/>
      <c r="I33" s="34"/>
      <c r="J33" s="34"/>
      <c r="K33" s="34"/>
      <c r="L33" s="34"/>
      <c r="M33" s="34"/>
      <c r="N33" s="34"/>
      <c r="O33" s="235"/>
      <c r="P33" s="34"/>
      <c r="Q33" s="34"/>
      <c r="R33" s="34"/>
      <c r="S33" s="34"/>
      <c r="T33" s="34"/>
      <c r="U33" s="34"/>
      <c r="V33" s="34"/>
      <c r="W33" s="235"/>
      <c r="X33" s="34"/>
      <c r="Y33" s="34"/>
      <c r="Z33" s="34"/>
      <c r="AA33" s="34"/>
      <c r="AB33" s="34"/>
      <c r="AC33" s="34"/>
    </row>
    <row r="34" spans="4:29" ht="22.2" customHeight="1" x14ac:dyDescent="0.3">
      <c r="D34" s="106"/>
      <c r="F34" s="34"/>
      <c r="G34" s="235"/>
      <c r="H34" s="34"/>
      <c r="I34" s="34"/>
      <c r="J34" s="34"/>
      <c r="K34" s="34"/>
      <c r="L34" s="34"/>
      <c r="M34" s="34"/>
      <c r="N34" s="34"/>
      <c r="O34" s="235"/>
      <c r="P34" s="34"/>
      <c r="Q34" s="34"/>
      <c r="R34" s="34"/>
      <c r="S34" s="34"/>
      <c r="T34" s="34"/>
      <c r="U34" s="34"/>
      <c r="V34" s="34"/>
      <c r="W34" s="235"/>
      <c r="X34" s="34"/>
      <c r="Y34" s="34"/>
      <c r="Z34" s="34"/>
      <c r="AA34" s="34"/>
      <c r="AB34" s="34"/>
      <c r="AC34" s="34"/>
    </row>
    <row r="35" spans="4:29" ht="22.2" customHeight="1" x14ac:dyDescent="0.3">
      <c r="F35" s="34"/>
      <c r="G35" s="235"/>
      <c r="H35" s="34"/>
      <c r="I35" s="34"/>
      <c r="J35" s="34"/>
      <c r="K35" s="34"/>
      <c r="L35" s="34"/>
      <c r="M35" s="34"/>
      <c r="N35" s="34"/>
      <c r="O35" s="235"/>
      <c r="P35" s="34"/>
      <c r="Q35" s="34"/>
      <c r="R35" s="34"/>
      <c r="S35" s="34"/>
      <c r="T35" s="34"/>
      <c r="U35" s="34"/>
      <c r="V35" s="34"/>
      <c r="W35" s="235"/>
      <c r="X35" s="34"/>
      <c r="Y35" s="34"/>
      <c r="Z35" s="34"/>
      <c r="AA35" s="34"/>
      <c r="AB35" s="34"/>
      <c r="AC35" s="34"/>
    </row>
    <row r="36" spans="4:29" x14ac:dyDescent="0.3">
      <c r="F36" s="34"/>
      <c r="G36" s="235"/>
      <c r="H36" s="34"/>
      <c r="I36" s="34"/>
      <c r="J36" s="34"/>
      <c r="K36" s="34"/>
      <c r="L36" s="34"/>
      <c r="M36" s="34"/>
      <c r="N36" s="34"/>
      <c r="O36" s="235"/>
      <c r="P36" s="34"/>
      <c r="Q36" s="34"/>
      <c r="R36" s="34"/>
      <c r="S36" s="34"/>
      <c r="T36" s="34"/>
      <c r="U36" s="34"/>
      <c r="V36" s="34"/>
      <c r="W36" s="235"/>
      <c r="X36" s="34"/>
      <c r="Y36" s="34"/>
      <c r="Z36" s="34"/>
      <c r="AA36" s="34"/>
      <c r="AB36" s="34"/>
      <c r="AC36" s="34"/>
    </row>
    <row r="37" spans="4:29" x14ac:dyDescent="0.3">
      <c r="F37" s="34"/>
      <c r="G37" s="235"/>
      <c r="H37" s="34"/>
      <c r="I37" s="34"/>
      <c r="J37" s="34"/>
      <c r="K37" s="34"/>
      <c r="L37" s="34"/>
      <c r="M37" s="34"/>
      <c r="N37" s="34"/>
      <c r="O37" s="235"/>
      <c r="P37" s="34"/>
      <c r="Q37" s="34"/>
      <c r="R37" s="34"/>
      <c r="S37" s="34"/>
      <c r="T37" s="34"/>
      <c r="U37" s="34"/>
      <c r="V37" s="34"/>
      <c r="W37" s="235"/>
      <c r="X37" s="34"/>
      <c r="Y37" s="34"/>
      <c r="Z37" s="34"/>
      <c r="AA37" s="34"/>
      <c r="AB37" s="34"/>
      <c r="AC37" s="34"/>
    </row>
    <row r="38" spans="4:29" x14ac:dyDescent="0.3">
      <c r="F38" s="34"/>
      <c r="G38" s="235"/>
      <c r="H38" s="34"/>
      <c r="I38" s="34"/>
      <c r="J38" s="34"/>
      <c r="K38" s="34"/>
      <c r="L38" s="34"/>
      <c r="M38" s="34"/>
      <c r="N38" s="34"/>
      <c r="O38" s="235"/>
      <c r="P38" s="34"/>
      <c r="Q38" s="34"/>
      <c r="R38" s="34"/>
      <c r="S38" s="34"/>
      <c r="T38" s="34"/>
      <c r="U38" s="34"/>
      <c r="V38" s="34"/>
      <c r="W38" s="235"/>
      <c r="X38" s="34"/>
      <c r="Y38" s="34"/>
      <c r="Z38" s="34"/>
      <c r="AA38" s="34"/>
      <c r="AB38" s="34"/>
      <c r="AC38" s="34"/>
    </row>
    <row r="39" spans="4:29" x14ac:dyDescent="0.3">
      <c r="F39" s="34"/>
      <c r="G39" s="235"/>
      <c r="H39" s="34"/>
      <c r="I39" s="34"/>
      <c r="J39" s="34"/>
      <c r="K39" s="34"/>
      <c r="L39" s="34"/>
      <c r="M39" s="34"/>
      <c r="N39" s="34"/>
      <c r="O39" s="235"/>
      <c r="P39" s="34"/>
      <c r="Q39" s="34"/>
      <c r="R39" s="34"/>
      <c r="S39" s="34"/>
      <c r="T39" s="34"/>
      <c r="U39" s="34"/>
      <c r="V39" s="34"/>
      <c r="W39" s="235"/>
      <c r="X39" s="34"/>
      <c r="Y39" s="34"/>
      <c r="Z39" s="34"/>
      <c r="AA39" s="34"/>
      <c r="AB39" s="34"/>
      <c r="AC39" s="34"/>
    </row>
    <row r="40" spans="4:29" x14ac:dyDescent="0.3">
      <c r="F40" s="34"/>
      <c r="G40" s="235"/>
      <c r="H40" s="34"/>
      <c r="I40" s="34"/>
      <c r="J40" s="34"/>
      <c r="K40" s="34"/>
      <c r="L40" s="34"/>
      <c r="M40" s="34"/>
      <c r="N40" s="34"/>
      <c r="O40" s="235"/>
      <c r="P40" s="34"/>
      <c r="Q40" s="34"/>
      <c r="R40" s="34"/>
      <c r="S40" s="34"/>
      <c r="T40" s="34"/>
      <c r="U40" s="34"/>
      <c r="V40" s="34"/>
      <c r="W40" s="235"/>
      <c r="X40" s="34"/>
      <c r="Y40" s="34"/>
      <c r="Z40" s="34"/>
      <c r="AA40" s="34"/>
      <c r="AB40" s="34"/>
      <c r="AC40" s="34"/>
    </row>
    <row r="41" spans="4:29" x14ac:dyDescent="0.3">
      <c r="F41" s="27"/>
      <c r="N41" s="4"/>
      <c r="P41" s="4"/>
      <c r="X41" s="3"/>
      <c r="Y41" s="3"/>
    </row>
    <row r="42" spans="4:29" x14ac:dyDescent="0.3">
      <c r="F42" s="27"/>
      <c r="N42" s="4"/>
      <c r="P42" s="4"/>
      <c r="X42" s="3"/>
      <c r="Y42" s="3"/>
    </row>
    <row r="43" spans="4:29" x14ac:dyDescent="0.3">
      <c r="F43" s="27"/>
      <c r="N43" s="4"/>
      <c r="P43" s="4"/>
      <c r="X43" s="3"/>
      <c r="Y43" s="3"/>
    </row>
    <row r="44" spans="4:29" x14ac:dyDescent="0.3">
      <c r="F44" s="27"/>
      <c r="X44" s="3"/>
      <c r="Y44" s="3"/>
    </row>
    <row r="45" spans="4:29" x14ac:dyDescent="0.3">
      <c r="F45" s="27"/>
      <c r="X45" s="3"/>
      <c r="Y45" s="3"/>
    </row>
    <row r="46" spans="4:29" x14ac:dyDescent="0.3">
      <c r="X46" s="3"/>
      <c r="Y46" s="3"/>
    </row>
    <row r="47" spans="4:29" x14ac:dyDescent="0.3">
      <c r="X47" s="3"/>
      <c r="Y47" s="3"/>
    </row>
    <row r="48" spans="4:29" x14ac:dyDescent="0.3">
      <c r="X48" s="3"/>
      <c r="Y48" s="3"/>
    </row>
  </sheetData>
  <mergeCells count="3">
    <mergeCell ref="I5:N5"/>
    <mergeCell ref="A5:F5"/>
    <mergeCell ref="Q5:V5"/>
  </mergeCells>
  <pageMargins left="0.25" right="0.25" top="0.75" bottom="0.75" header="0.3" footer="0.3"/>
  <pageSetup scale="44"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3811D-8430-4F55-93DB-36C4F1D577B6}">
  <dimension ref="A1:BZ54"/>
  <sheetViews>
    <sheetView zoomScale="80" zoomScaleNormal="80" workbookViewId="0">
      <pane ySplit="4" topLeftCell="A5" activePane="bottomLeft" state="frozen"/>
      <selection pane="bottomLeft" activeCell="A2" sqref="A2"/>
    </sheetView>
  </sheetViews>
  <sheetFormatPr defaultColWidth="8.88671875" defaultRowHeight="14.4" x14ac:dyDescent="0.3"/>
  <cols>
    <col min="1" max="29" width="8.88671875" style="138"/>
    <col min="30" max="62" width="8.88671875" style="195"/>
    <col min="63" max="73" width="8.88671875" style="186"/>
    <col min="74" max="75" width="8.88671875" style="195"/>
    <col min="76" max="16384" width="8.88671875" style="138"/>
  </cols>
  <sheetData>
    <row r="1" spans="1:78" ht="22.2" x14ac:dyDescent="0.3">
      <c r="A1" s="14"/>
      <c r="B1" s="14"/>
      <c r="C1" s="14"/>
      <c r="D1" s="38"/>
      <c r="E1" s="39"/>
      <c r="F1" s="40"/>
      <c r="G1" s="41"/>
      <c r="H1" s="41"/>
      <c r="I1" s="2"/>
      <c r="J1" s="1"/>
      <c r="K1" s="77"/>
      <c r="L1" s="77"/>
      <c r="M1" s="123"/>
      <c r="BJ1" s="196"/>
      <c r="BN1" s="187"/>
    </row>
    <row r="2" spans="1:78" ht="27.6" x14ac:dyDescent="0.3">
      <c r="A2" s="42" t="s">
        <v>98</v>
      </c>
      <c r="B2" s="42"/>
      <c r="C2" s="14"/>
      <c r="D2" s="38"/>
      <c r="E2" s="1"/>
      <c r="F2" s="43"/>
      <c r="G2" s="43"/>
      <c r="H2" s="43"/>
      <c r="I2" s="44"/>
      <c r="J2" s="1"/>
      <c r="K2" s="77"/>
      <c r="L2" s="77"/>
      <c r="M2" s="123"/>
      <c r="BJ2" s="196"/>
      <c r="BN2" s="187"/>
    </row>
    <row r="3" spans="1:78" ht="13.95" customHeight="1" x14ac:dyDescent="0.3">
      <c r="A3" s="152" t="s">
        <v>21</v>
      </c>
      <c r="B3" s="175"/>
      <c r="C3" s="153"/>
      <c r="D3" s="176"/>
      <c r="E3" s="125"/>
      <c r="F3" s="177"/>
      <c r="G3" s="177"/>
      <c r="H3" s="177"/>
      <c r="I3" s="178"/>
      <c r="J3" s="125"/>
      <c r="K3" s="156"/>
      <c r="L3" s="156"/>
      <c r="M3" s="157"/>
      <c r="N3" s="158"/>
      <c r="O3" s="158"/>
      <c r="P3" s="158"/>
      <c r="Q3" s="158"/>
      <c r="R3" s="158"/>
      <c r="S3" s="158"/>
      <c r="T3" s="158"/>
      <c r="U3" s="158"/>
      <c r="V3" s="158"/>
      <c r="W3" s="158"/>
      <c r="X3" s="158"/>
      <c r="BJ3" s="196"/>
    </row>
    <row r="4" spans="1:78" x14ac:dyDescent="0.3">
      <c r="B4" s="152"/>
      <c r="C4" s="153"/>
      <c r="D4" s="154"/>
      <c r="E4" s="125"/>
      <c r="F4" s="125"/>
      <c r="G4" s="125"/>
      <c r="H4" s="125"/>
      <c r="I4" s="155"/>
      <c r="J4" s="125"/>
      <c r="K4" s="156"/>
      <c r="L4" s="156"/>
      <c r="M4" s="157"/>
      <c r="N4" s="158"/>
      <c r="O4" s="158"/>
      <c r="P4" s="158"/>
      <c r="Q4" s="158"/>
      <c r="R4" s="158"/>
      <c r="S4" s="158"/>
      <c r="T4" s="158"/>
      <c r="U4" s="158"/>
      <c r="V4" s="158"/>
      <c r="W4" s="158"/>
      <c r="X4" s="158"/>
      <c r="BJ4" s="196"/>
      <c r="BN4" s="187"/>
    </row>
    <row r="5" spans="1:78" x14ac:dyDescent="0.3">
      <c r="A5" s="163"/>
      <c r="B5" s="164"/>
      <c r="C5" s="164"/>
      <c r="D5" s="164"/>
      <c r="E5" s="164"/>
      <c r="F5" s="164"/>
      <c r="G5" s="164"/>
      <c r="H5" s="164"/>
      <c r="I5" s="164"/>
      <c r="J5" s="164"/>
      <c r="K5" s="164"/>
      <c r="L5" s="164"/>
      <c r="M5" s="164"/>
      <c r="N5" s="164"/>
      <c r="O5" s="164"/>
      <c r="P5" s="164"/>
      <c r="Q5" s="164"/>
      <c r="R5" s="164"/>
      <c r="S5" s="164"/>
      <c r="T5" s="164"/>
      <c r="U5" s="164"/>
      <c r="V5" s="164"/>
      <c r="W5" s="164"/>
      <c r="X5" s="165"/>
      <c r="Y5" s="137"/>
      <c r="BJ5" s="196"/>
      <c r="BN5" s="187"/>
    </row>
    <row r="6" spans="1:78" x14ac:dyDescent="0.3">
      <c r="A6" s="166"/>
      <c r="B6" s="148"/>
      <c r="C6" s="148"/>
      <c r="D6" s="148"/>
      <c r="E6" s="148"/>
      <c r="F6" s="148"/>
      <c r="G6" s="148"/>
      <c r="H6" s="148"/>
      <c r="I6" s="148"/>
      <c r="J6" s="148"/>
      <c r="K6" s="148"/>
      <c r="L6" s="148"/>
      <c r="M6" s="148"/>
      <c r="N6" s="148"/>
      <c r="O6" s="148"/>
      <c r="P6" s="148"/>
      <c r="Q6" s="148"/>
      <c r="R6" s="148"/>
      <c r="S6" s="148"/>
      <c r="T6" s="148"/>
      <c r="U6" s="148"/>
      <c r="V6" s="148"/>
      <c r="W6" s="148"/>
      <c r="X6" s="167"/>
      <c r="Y6" s="137"/>
      <c r="BK6" s="188"/>
      <c r="BL6" s="188"/>
      <c r="BM6" s="188"/>
      <c r="BN6" s="189"/>
    </row>
    <row r="7" spans="1:78" ht="18" x14ac:dyDescent="0.3">
      <c r="A7" s="166"/>
      <c r="B7" s="148"/>
      <c r="C7" s="148"/>
      <c r="D7" s="148"/>
      <c r="E7" s="148"/>
      <c r="F7" s="148"/>
      <c r="G7" s="148"/>
      <c r="H7" s="148"/>
      <c r="I7" s="148"/>
      <c r="J7" s="148"/>
      <c r="K7" s="148"/>
      <c r="L7" s="148"/>
      <c r="M7" s="148"/>
      <c r="N7" s="148"/>
      <c r="O7" s="148"/>
      <c r="P7" s="148"/>
      <c r="Q7" s="148"/>
      <c r="R7" s="148"/>
      <c r="S7" s="148"/>
      <c r="T7" s="148"/>
      <c r="U7" s="148"/>
      <c r="V7" s="148"/>
      <c r="W7" s="148"/>
      <c r="X7" s="167"/>
      <c r="Y7" s="137"/>
      <c r="BW7" s="197"/>
      <c r="BX7" s="139"/>
      <c r="BY7" s="140"/>
      <c r="BZ7" s="139"/>
    </row>
    <row r="8" spans="1:78" ht="18" x14ac:dyDescent="0.3">
      <c r="A8" s="166"/>
      <c r="B8" s="148"/>
      <c r="C8" s="148"/>
      <c r="D8" s="148"/>
      <c r="E8" s="148"/>
      <c r="F8" s="148"/>
      <c r="G8" s="148"/>
      <c r="H8" s="148"/>
      <c r="I8" s="148"/>
      <c r="J8" s="148"/>
      <c r="K8" s="148"/>
      <c r="L8" s="148"/>
      <c r="M8" s="148"/>
      <c r="N8" s="148"/>
      <c r="O8" s="148"/>
      <c r="P8" s="148"/>
      <c r="Q8" s="148"/>
      <c r="R8" s="148"/>
      <c r="S8" s="148"/>
      <c r="T8" s="148"/>
      <c r="U8" s="148"/>
      <c r="V8" s="148"/>
      <c r="W8" s="148"/>
      <c r="X8" s="167"/>
      <c r="Y8" s="137"/>
      <c r="BW8" s="198"/>
      <c r="BX8" s="142"/>
      <c r="BY8" s="141"/>
      <c r="BZ8" s="143"/>
    </row>
    <row r="9" spans="1:78" x14ac:dyDescent="0.3">
      <c r="A9" s="166"/>
      <c r="B9" s="148"/>
      <c r="C9" s="148"/>
      <c r="D9" s="148"/>
      <c r="E9" s="148"/>
      <c r="F9" s="148"/>
      <c r="G9" s="148"/>
      <c r="H9" s="148"/>
      <c r="I9" s="148"/>
      <c r="J9" s="148"/>
      <c r="K9" s="148"/>
      <c r="L9" s="148"/>
      <c r="M9" s="148"/>
      <c r="N9" s="148"/>
      <c r="O9" s="148"/>
      <c r="P9" s="148"/>
      <c r="Q9" s="148"/>
      <c r="R9" s="148"/>
      <c r="S9" s="148"/>
      <c r="T9" s="148"/>
      <c r="U9" s="148"/>
      <c r="V9" s="148"/>
      <c r="W9" s="148"/>
      <c r="X9" s="167"/>
      <c r="Y9" s="137"/>
    </row>
    <row r="10" spans="1:78" x14ac:dyDescent="0.3">
      <c r="A10" s="166"/>
      <c r="B10" s="148"/>
      <c r="C10" s="148"/>
      <c r="D10" s="148"/>
      <c r="E10" s="148"/>
      <c r="F10" s="148"/>
      <c r="G10" s="148"/>
      <c r="H10" s="148"/>
      <c r="I10" s="148"/>
      <c r="J10" s="148"/>
      <c r="K10" s="148"/>
      <c r="L10" s="148"/>
      <c r="M10" s="148"/>
      <c r="N10" s="148"/>
      <c r="O10" s="148"/>
      <c r="P10" s="148"/>
      <c r="Q10" s="148"/>
      <c r="R10" s="148"/>
      <c r="S10" s="148"/>
      <c r="T10" s="148"/>
      <c r="U10" s="148"/>
      <c r="V10" s="148"/>
      <c r="W10" s="148"/>
      <c r="X10" s="167"/>
      <c r="Y10" s="137"/>
    </row>
    <row r="11" spans="1:78" x14ac:dyDescent="0.3">
      <c r="A11" s="166"/>
      <c r="B11" s="148"/>
      <c r="C11" s="148"/>
      <c r="D11" s="148"/>
      <c r="E11" s="148"/>
      <c r="F11" s="148"/>
      <c r="G11" s="148"/>
      <c r="H11" s="148"/>
      <c r="I11" s="148"/>
      <c r="J11" s="148"/>
      <c r="K11" s="148"/>
      <c r="L11" s="148"/>
      <c r="M11" s="148"/>
      <c r="N11" s="148"/>
      <c r="O11" s="148"/>
      <c r="P11" s="148"/>
      <c r="Q11" s="148"/>
      <c r="R11" s="148"/>
      <c r="S11" s="148"/>
      <c r="T11" s="148"/>
      <c r="U11" s="148"/>
      <c r="V11" s="148"/>
      <c r="W11" s="148"/>
      <c r="X11" s="167"/>
      <c r="Y11" s="137"/>
    </row>
    <row r="12" spans="1:78" x14ac:dyDescent="0.3">
      <c r="A12" s="166"/>
      <c r="B12" s="148"/>
      <c r="C12" s="148"/>
      <c r="D12" s="148"/>
      <c r="E12" s="148"/>
      <c r="F12" s="148"/>
      <c r="G12" s="148"/>
      <c r="H12" s="148"/>
      <c r="I12" s="148"/>
      <c r="J12" s="148"/>
      <c r="K12" s="148"/>
      <c r="L12" s="148"/>
      <c r="M12" s="148"/>
      <c r="N12" s="148"/>
      <c r="O12" s="148"/>
      <c r="P12" s="148"/>
      <c r="Q12" s="148"/>
      <c r="R12" s="148"/>
      <c r="S12" s="148"/>
      <c r="T12" s="148"/>
      <c r="U12" s="148"/>
      <c r="V12" s="148"/>
      <c r="W12" s="148"/>
      <c r="X12" s="167"/>
      <c r="Y12" s="137"/>
    </row>
    <row r="13" spans="1:78" x14ac:dyDescent="0.3">
      <c r="A13" s="166"/>
      <c r="B13" s="148"/>
      <c r="C13" s="148"/>
      <c r="D13" s="148"/>
      <c r="E13" s="148"/>
      <c r="F13" s="148"/>
      <c r="G13" s="148"/>
      <c r="H13" s="148"/>
      <c r="I13" s="148"/>
      <c r="J13" s="148"/>
      <c r="K13" s="148"/>
      <c r="L13" s="148"/>
      <c r="M13" s="148"/>
      <c r="N13" s="148"/>
      <c r="O13" s="148"/>
      <c r="P13" s="148"/>
      <c r="Q13" s="148"/>
      <c r="R13" s="148"/>
      <c r="S13" s="148"/>
      <c r="T13" s="148"/>
      <c r="U13" s="148"/>
      <c r="V13" s="148"/>
      <c r="W13" s="148"/>
      <c r="X13" s="167"/>
      <c r="Y13" s="137"/>
    </row>
    <row r="14" spans="1:78" x14ac:dyDescent="0.3">
      <c r="A14" s="166"/>
      <c r="B14" s="148"/>
      <c r="C14" s="148"/>
      <c r="D14" s="148"/>
      <c r="E14" s="148"/>
      <c r="F14" s="148"/>
      <c r="G14" s="148"/>
      <c r="H14" s="148"/>
      <c r="I14" s="148"/>
      <c r="J14" s="148"/>
      <c r="K14" s="148"/>
      <c r="L14" s="148"/>
      <c r="M14" s="148"/>
      <c r="N14" s="148"/>
      <c r="O14" s="148"/>
      <c r="P14" s="148"/>
      <c r="Q14" s="148"/>
      <c r="R14" s="148"/>
      <c r="S14" s="148"/>
      <c r="T14" s="148"/>
      <c r="U14" s="148"/>
      <c r="V14" s="148"/>
      <c r="W14" s="148"/>
      <c r="X14" s="167"/>
      <c r="Y14" s="137"/>
    </row>
    <row r="15" spans="1:78" x14ac:dyDescent="0.3">
      <c r="A15" s="166"/>
      <c r="B15" s="148"/>
      <c r="C15" s="148"/>
      <c r="D15" s="148"/>
      <c r="E15" s="148"/>
      <c r="F15" s="148"/>
      <c r="G15" s="148"/>
      <c r="H15" s="148"/>
      <c r="I15" s="148"/>
      <c r="J15" s="148"/>
      <c r="K15" s="148"/>
      <c r="L15" s="148"/>
      <c r="M15" s="148"/>
      <c r="N15" s="148"/>
      <c r="O15" s="148"/>
      <c r="P15" s="148"/>
      <c r="Q15" s="148"/>
      <c r="R15" s="148"/>
      <c r="S15" s="148"/>
      <c r="T15" s="148"/>
      <c r="U15" s="148"/>
      <c r="V15" s="148"/>
      <c r="W15" s="148"/>
      <c r="X15" s="167"/>
      <c r="Y15" s="137"/>
    </row>
    <row r="16" spans="1:78" x14ac:dyDescent="0.3">
      <c r="A16" s="166"/>
      <c r="B16" s="148"/>
      <c r="C16" s="148"/>
      <c r="D16" s="148"/>
      <c r="E16" s="148"/>
      <c r="F16" s="148"/>
      <c r="G16" s="148"/>
      <c r="H16" s="148"/>
      <c r="I16" s="148"/>
      <c r="J16" s="148"/>
      <c r="K16" s="148"/>
      <c r="L16" s="148"/>
      <c r="M16" s="148"/>
      <c r="N16" s="148"/>
      <c r="O16" s="148"/>
      <c r="P16" s="148"/>
      <c r="Q16" s="148"/>
      <c r="R16" s="148"/>
      <c r="S16" s="148"/>
      <c r="T16" s="148"/>
      <c r="U16" s="148"/>
      <c r="V16" s="148"/>
      <c r="W16" s="148"/>
      <c r="X16" s="167"/>
      <c r="Y16" s="137"/>
    </row>
    <row r="17" spans="1:25" x14ac:dyDescent="0.3">
      <c r="A17" s="166"/>
      <c r="B17" s="148"/>
      <c r="C17" s="148"/>
      <c r="D17" s="148"/>
      <c r="E17" s="148"/>
      <c r="F17" s="148"/>
      <c r="G17" s="148"/>
      <c r="H17" s="148"/>
      <c r="I17" s="148"/>
      <c r="J17" s="148"/>
      <c r="K17" s="148"/>
      <c r="L17" s="148"/>
      <c r="M17" s="148"/>
      <c r="N17" s="148"/>
      <c r="O17" s="148"/>
      <c r="P17" s="148"/>
      <c r="Q17" s="148"/>
      <c r="R17" s="148"/>
      <c r="S17" s="148"/>
      <c r="T17" s="148"/>
      <c r="U17" s="148"/>
      <c r="V17" s="148"/>
      <c r="W17" s="148"/>
      <c r="X17" s="167"/>
      <c r="Y17" s="137"/>
    </row>
    <row r="18" spans="1:25" x14ac:dyDescent="0.3">
      <c r="A18" s="166"/>
      <c r="B18" s="148"/>
      <c r="C18" s="148"/>
      <c r="D18" s="148"/>
      <c r="E18" s="148"/>
      <c r="F18" s="148"/>
      <c r="G18" s="148"/>
      <c r="H18" s="148"/>
      <c r="I18" s="148"/>
      <c r="J18" s="148"/>
      <c r="K18" s="148"/>
      <c r="L18" s="148"/>
      <c r="M18" s="148"/>
      <c r="N18" s="148"/>
      <c r="O18" s="148"/>
      <c r="P18" s="148"/>
      <c r="Q18" s="148"/>
      <c r="R18" s="148"/>
      <c r="S18" s="148"/>
      <c r="T18" s="148"/>
      <c r="U18" s="148"/>
      <c r="V18" s="148"/>
      <c r="W18" s="148"/>
      <c r="X18" s="167"/>
      <c r="Y18" s="137"/>
    </row>
    <row r="19" spans="1:25" x14ac:dyDescent="0.3">
      <c r="A19" s="166"/>
      <c r="B19" s="148"/>
      <c r="C19" s="148"/>
      <c r="D19" s="148"/>
      <c r="E19" s="148"/>
      <c r="F19" s="148"/>
      <c r="G19" s="148"/>
      <c r="H19" s="148"/>
      <c r="I19" s="148"/>
      <c r="J19" s="148"/>
      <c r="K19" s="148"/>
      <c r="L19" s="148"/>
      <c r="M19" s="148"/>
      <c r="N19" s="148"/>
      <c r="O19" s="148"/>
      <c r="P19" s="148"/>
      <c r="Q19" s="148"/>
      <c r="R19" s="148"/>
      <c r="S19" s="148"/>
      <c r="T19" s="148"/>
      <c r="U19" s="148"/>
      <c r="V19" s="148"/>
      <c r="W19" s="148"/>
      <c r="X19" s="167"/>
      <c r="Y19" s="137"/>
    </row>
    <row r="20" spans="1:25" x14ac:dyDescent="0.3">
      <c r="A20" s="166"/>
      <c r="B20" s="148"/>
      <c r="C20" s="148"/>
      <c r="D20" s="148"/>
      <c r="E20" s="148"/>
      <c r="F20" s="148"/>
      <c r="G20" s="148"/>
      <c r="H20" s="148"/>
      <c r="I20" s="148"/>
      <c r="J20" s="148"/>
      <c r="K20" s="148"/>
      <c r="L20" s="148"/>
      <c r="M20" s="148"/>
      <c r="N20" s="148"/>
      <c r="O20" s="148"/>
      <c r="P20" s="148"/>
      <c r="Q20" s="148"/>
      <c r="R20" s="148"/>
      <c r="S20" s="148"/>
      <c r="T20" s="148"/>
      <c r="U20" s="148"/>
      <c r="V20" s="148"/>
      <c r="W20" s="148"/>
      <c r="X20" s="167"/>
      <c r="Y20" s="137"/>
    </row>
    <row r="21" spans="1:25" x14ac:dyDescent="0.3">
      <c r="A21" s="166"/>
      <c r="B21" s="148"/>
      <c r="C21" s="148"/>
      <c r="D21" s="148"/>
      <c r="E21" s="148"/>
      <c r="F21" s="148"/>
      <c r="G21" s="148"/>
      <c r="H21" s="148"/>
      <c r="I21" s="148"/>
      <c r="J21" s="148"/>
      <c r="K21" s="148"/>
      <c r="L21" s="148"/>
      <c r="M21" s="148"/>
      <c r="N21" s="148"/>
      <c r="O21" s="148"/>
      <c r="P21" s="148"/>
      <c r="Q21" s="148"/>
      <c r="R21" s="148"/>
      <c r="S21" s="148"/>
      <c r="T21" s="148"/>
      <c r="U21" s="148"/>
      <c r="V21" s="148"/>
      <c r="W21" s="148"/>
      <c r="X21" s="167"/>
      <c r="Y21" s="137"/>
    </row>
    <row r="22" spans="1:25" x14ac:dyDescent="0.3">
      <c r="A22" s="166"/>
      <c r="B22" s="148"/>
      <c r="C22" s="148"/>
      <c r="D22" s="148"/>
      <c r="E22" s="148"/>
      <c r="F22" s="148"/>
      <c r="G22" s="148"/>
      <c r="H22" s="148"/>
      <c r="I22" s="148"/>
      <c r="J22" s="148"/>
      <c r="K22" s="148"/>
      <c r="L22" s="148"/>
      <c r="M22" s="148"/>
      <c r="N22" s="148"/>
      <c r="O22" s="148"/>
      <c r="P22" s="148"/>
      <c r="Q22" s="148"/>
      <c r="R22" s="148"/>
      <c r="S22" s="148"/>
      <c r="T22" s="148"/>
      <c r="U22" s="148"/>
      <c r="V22" s="148"/>
      <c r="W22" s="148"/>
      <c r="X22" s="167"/>
      <c r="Y22" s="137"/>
    </row>
    <row r="23" spans="1:25" x14ac:dyDescent="0.3">
      <c r="A23" s="166"/>
      <c r="B23" s="148"/>
      <c r="C23" s="148"/>
      <c r="D23" s="148"/>
      <c r="E23" s="148"/>
      <c r="F23" s="148"/>
      <c r="G23" s="148"/>
      <c r="H23" s="148"/>
      <c r="I23" s="148"/>
      <c r="J23" s="148"/>
      <c r="K23" s="148"/>
      <c r="L23" s="148"/>
      <c r="M23" s="148"/>
      <c r="N23" s="148"/>
      <c r="O23" s="148"/>
      <c r="P23" s="148"/>
      <c r="Q23" s="148"/>
      <c r="R23" s="148"/>
      <c r="S23" s="148"/>
      <c r="T23" s="148"/>
      <c r="U23" s="148"/>
      <c r="V23" s="148"/>
      <c r="W23" s="148"/>
      <c r="X23" s="167"/>
      <c r="Y23" s="137"/>
    </row>
    <row r="24" spans="1:25" x14ac:dyDescent="0.3">
      <c r="A24" s="166"/>
      <c r="B24" s="148"/>
      <c r="C24" s="148"/>
      <c r="D24" s="148"/>
      <c r="E24" s="148"/>
      <c r="F24" s="148"/>
      <c r="G24" s="148"/>
      <c r="H24" s="148"/>
      <c r="I24" s="148"/>
      <c r="J24" s="148"/>
      <c r="K24" s="148"/>
      <c r="L24" s="148"/>
      <c r="M24" s="148"/>
      <c r="N24" s="148"/>
      <c r="O24" s="148"/>
      <c r="P24" s="148"/>
      <c r="Q24" s="148"/>
      <c r="R24" s="148"/>
      <c r="S24" s="148"/>
      <c r="T24" s="148"/>
      <c r="U24" s="148"/>
      <c r="V24" s="148"/>
      <c r="W24" s="148"/>
      <c r="X24" s="167"/>
      <c r="Y24" s="137"/>
    </row>
    <row r="25" spans="1:25" x14ac:dyDescent="0.3">
      <c r="A25" s="166"/>
      <c r="B25" s="148"/>
      <c r="C25" s="148"/>
      <c r="D25" s="148"/>
      <c r="E25" s="148"/>
      <c r="F25" s="148"/>
      <c r="G25" s="148"/>
      <c r="H25" s="148"/>
      <c r="I25" s="148"/>
      <c r="J25" s="148"/>
      <c r="K25" s="148"/>
      <c r="L25" s="148"/>
      <c r="M25" s="148"/>
      <c r="N25" s="148"/>
      <c r="O25" s="148"/>
      <c r="P25" s="148"/>
      <c r="Q25" s="148"/>
      <c r="R25" s="148"/>
      <c r="S25" s="148"/>
      <c r="T25" s="148"/>
      <c r="U25" s="148"/>
      <c r="V25" s="148"/>
      <c r="W25" s="148"/>
      <c r="X25" s="167"/>
      <c r="Y25" s="137"/>
    </row>
    <row r="26" spans="1:25" x14ac:dyDescent="0.3">
      <c r="A26" s="166"/>
      <c r="B26" s="148"/>
      <c r="C26" s="148"/>
      <c r="D26" s="148"/>
      <c r="E26" s="148"/>
      <c r="F26" s="148"/>
      <c r="G26" s="148"/>
      <c r="H26" s="148"/>
      <c r="I26" s="148"/>
      <c r="J26" s="148"/>
      <c r="K26" s="148"/>
      <c r="L26" s="148"/>
      <c r="M26" s="148"/>
      <c r="N26" s="148"/>
      <c r="O26" s="148"/>
      <c r="P26" s="148"/>
      <c r="Q26" s="148"/>
      <c r="R26" s="148"/>
      <c r="S26" s="148"/>
      <c r="T26" s="148"/>
      <c r="U26" s="148"/>
      <c r="V26" s="148"/>
      <c r="W26" s="148"/>
      <c r="X26" s="167"/>
      <c r="Y26" s="137"/>
    </row>
    <row r="27" spans="1:25" x14ac:dyDescent="0.3">
      <c r="A27" s="166"/>
      <c r="B27" s="148"/>
      <c r="C27" s="148"/>
      <c r="D27" s="148"/>
      <c r="E27" s="148"/>
      <c r="F27" s="148"/>
      <c r="G27" s="148"/>
      <c r="H27" s="148"/>
      <c r="I27" s="148"/>
      <c r="J27" s="148"/>
      <c r="K27" s="148"/>
      <c r="L27" s="148"/>
      <c r="M27" s="148"/>
      <c r="N27" s="148"/>
      <c r="O27" s="148"/>
      <c r="P27" s="148"/>
      <c r="Q27" s="148"/>
      <c r="R27" s="148"/>
      <c r="S27" s="148"/>
      <c r="T27" s="148"/>
      <c r="U27" s="148"/>
      <c r="V27" s="148"/>
      <c r="W27" s="148"/>
      <c r="X27" s="167"/>
      <c r="Y27" s="137"/>
    </row>
    <row r="28" spans="1:25" x14ac:dyDescent="0.3">
      <c r="A28" s="166"/>
      <c r="B28" s="148"/>
      <c r="C28" s="148"/>
      <c r="D28" s="148"/>
      <c r="E28" s="148"/>
      <c r="F28" s="148"/>
      <c r="G28" s="148"/>
      <c r="H28" s="148"/>
      <c r="I28" s="148"/>
      <c r="J28" s="148"/>
      <c r="K28" s="148"/>
      <c r="L28" s="148"/>
      <c r="M28" s="148"/>
      <c r="N28" s="148"/>
      <c r="O28" s="148"/>
      <c r="P28" s="148"/>
      <c r="Q28" s="148"/>
      <c r="R28" s="148"/>
      <c r="S28" s="148"/>
      <c r="T28" s="148"/>
      <c r="U28" s="148"/>
      <c r="V28" s="148"/>
      <c r="W28" s="148"/>
      <c r="X28" s="167"/>
      <c r="Y28" s="137"/>
    </row>
    <row r="29" spans="1:25" x14ac:dyDescent="0.3">
      <c r="A29" s="166"/>
      <c r="B29" s="148"/>
      <c r="C29" s="148"/>
      <c r="D29" s="148"/>
      <c r="E29" s="148"/>
      <c r="F29" s="148"/>
      <c r="G29" s="148"/>
      <c r="H29" s="148"/>
      <c r="I29" s="148"/>
      <c r="J29" s="148"/>
      <c r="K29" s="148"/>
      <c r="L29" s="148"/>
      <c r="M29" s="148"/>
      <c r="N29" s="148"/>
      <c r="O29" s="148"/>
      <c r="P29" s="148"/>
      <c r="Q29" s="148"/>
      <c r="R29" s="148"/>
      <c r="S29" s="148"/>
      <c r="T29" s="148"/>
      <c r="U29" s="148"/>
      <c r="V29" s="148"/>
      <c r="W29" s="148"/>
      <c r="X29" s="167"/>
      <c r="Y29" s="137"/>
    </row>
    <row r="30" spans="1:25" x14ac:dyDescent="0.3">
      <c r="A30" s="166"/>
      <c r="B30" s="148"/>
      <c r="C30" s="148"/>
      <c r="D30" s="148"/>
      <c r="E30" s="148"/>
      <c r="F30" s="148"/>
      <c r="G30" s="148"/>
      <c r="H30" s="148"/>
      <c r="I30" s="148"/>
      <c r="J30" s="148"/>
      <c r="K30" s="148"/>
      <c r="L30" s="148"/>
      <c r="M30" s="148"/>
      <c r="N30" s="148"/>
      <c r="O30" s="148"/>
      <c r="P30" s="148"/>
      <c r="Q30" s="148"/>
      <c r="R30" s="148"/>
      <c r="S30" s="148"/>
      <c r="T30" s="148"/>
      <c r="U30" s="148"/>
      <c r="V30" s="148"/>
      <c r="W30" s="148"/>
      <c r="X30" s="167"/>
      <c r="Y30" s="137"/>
    </row>
    <row r="31" spans="1:25" x14ac:dyDescent="0.3">
      <c r="A31" s="166"/>
      <c r="B31" s="148"/>
      <c r="C31" s="148"/>
      <c r="D31" s="148"/>
      <c r="E31" s="148"/>
      <c r="F31" s="148"/>
      <c r="G31" s="148"/>
      <c r="H31" s="148"/>
      <c r="I31" s="148"/>
      <c r="J31" s="148"/>
      <c r="K31" s="148"/>
      <c r="L31" s="148"/>
      <c r="M31" s="148"/>
      <c r="N31" s="148"/>
      <c r="O31" s="148"/>
      <c r="P31" s="148"/>
      <c r="Q31" s="148"/>
      <c r="R31" s="148"/>
      <c r="S31" s="148"/>
      <c r="T31" s="148"/>
      <c r="U31" s="148"/>
      <c r="V31" s="148"/>
      <c r="W31" s="148"/>
      <c r="X31" s="167"/>
      <c r="Y31" s="137"/>
    </row>
    <row r="32" spans="1:25" x14ac:dyDescent="0.3">
      <c r="A32" s="166"/>
      <c r="B32" s="148"/>
      <c r="C32" s="148"/>
      <c r="D32" s="148"/>
      <c r="E32" s="148"/>
      <c r="F32" s="148"/>
      <c r="G32" s="148"/>
      <c r="H32" s="148"/>
      <c r="I32" s="148"/>
      <c r="J32" s="148"/>
      <c r="K32" s="148"/>
      <c r="L32" s="148"/>
      <c r="M32" s="148"/>
      <c r="N32" s="148"/>
      <c r="O32" s="148"/>
      <c r="P32" s="148"/>
      <c r="Q32" s="148"/>
      <c r="R32" s="148"/>
      <c r="S32" s="148"/>
      <c r="T32" s="148"/>
      <c r="U32" s="148"/>
      <c r="V32" s="148"/>
      <c r="W32" s="148"/>
      <c r="X32" s="167"/>
      <c r="Y32" s="137"/>
    </row>
    <row r="33" spans="1:25" x14ac:dyDescent="0.3">
      <c r="A33" s="166"/>
      <c r="B33" s="148"/>
      <c r="C33" s="148"/>
      <c r="D33" s="148"/>
      <c r="E33" s="148"/>
      <c r="F33" s="148"/>
      <c r="G33" s="148"/>
      <c r="H33" s="148"/>
      <c r="I33" s="148"/>
      <c r="J33" s="148"/>
      <c r="K33" s="148"/>
      <c r="L33" s="148"/>
      <c r="M33" s="148"/>
      <c r="N33" s="148"/>
      <c r="O33" s="148"/>
      <c r="P33" s="148"/>
      <c r="Q33" s="148"/>
      <c r="R33" s="148"/>
      <c r="S33" s="148"/>
      <c r="T33" s="148"/>
      <c r="U33" s="148"/>
      <c r="V33" s="148"/>
      <c r="W33" s="148"/>
      <c r="X33" s="167"/>
      <c r="Y33" s="137"/>
    </row>
    <row r="34" spans="1:25" x14ac:dyDescent="0.3">
      <c r="A34" s="166"/>
      <c r="B34" s="148"/>
      <c r="C34" s="148"/>
      <c r="D34" s="148"/>
      <c r="E34" s="148"/>
      <c r="F34" s="148"/>
      <c r="G34" s="148"/>
      <c r="H34" s="148"/>
      <c r="I34" s="148"/>
      <c r="J34" s="148"/>
      <c r="K34" s="148"/>
      <c r="L34" s="148"/>
      <c r="M34" s="148"/>
      <c r="N34" s="148"/>
      <c r="O34" s="148"/>
      <c r="P34" s="148"/>
      <c r="Q34" s="148"/>
      <c r="R34" s="148"/>
      <c r="S34" s="148"/>
      <c r="T34" s="148"/>
      <c r="U34" s="148"/>
      <c r="V34" s="148"/>
      <c r="W34" s="148"/>
      <c r="X34" s="167"/>
      <c r="Y34" s="137"/>
    </row>
    <row r="35" spans="1:25" x14ac:dyDescent="0.3">
      <c r="A35" s="166"/>
      <c r="B35" s="148"/>
      <c r="C35" s="148"/>
      <c r="D35" s="148"/>
      <c r="E35" s="148"/>
      <c r="F35" s="148"/>
      <c r="G35" s="148"/>
      <c r="H35" s="148"/>
      <c r="I35" s="148"/>
      <c r="J35" s="148"/>
      <c r="K35" s="148"/>
      <c r="L35" s="148"/>
      <c r="M35" s="148"/>
      <c r="N35" s="148"/>
      <c r="O35" s="148"/>
      <c r="P35" s="148"/>
      <c r="Q35" s="148"/>
      <c r="R35" s="148"/>
      <c r="S35" s="148"/>
      <c r="T35" s="148"/>
      <c r="U35" s="148"/>
      <c r="V35" s="148"/>
      <c r="W35" s="148"/>
      <c r="X35" s="167"/>
      <c r="Y35" s="137"/>
    </row>
    <row r="36" spans="1:25" x14ac:dyDescent="0.3">
      <c r="A36" s="166"/>
      <c r="B36" s="148"/>
      <c r="C36" s="148"/>
      <c r="D36" s="148"/>
      <c r="E36" s="148"/>
      <c r="F36" s="148"/>
      <c r="G36" s="148"/>
      <c r="H36" s="148"/>
      <c r="I36" s="148"/>
      <c r="J36" s="148"/>
      <c r="K36" s="148"/>
      <c r="L36" s="148"/>
      <c r="M36" s="148"/>
      <c r="N36" s="148"/>
      <c r="O36" s="148"/>
      <c r="P36" s="148"/>
      <c r="Q36" s="148"/>
      <c r="R36" s="148"/>
      <c r="S36" s="148"/>
      <c r="T36" s="148"/>
      <c r="U36" s="148"/>
      <c r="V36" s="148"/>
      <c r="W36" s="148"/>
      <c r="X36" s="167"/>
      <c r="Y36" s="137"/>
    </row>
    <row r="37" spans="1:25" x14ac:dyDescent="0.3">
      <c r="A37" s="166"/>
      <c r="B37" s="148"/>
      <c r="C37" s="148"/>
      <c r="D37" s="148"/>
      <c r="E37" s="148"/>
      <c r="F37" s="148"/>
      <c r="G37" s="148"/>
      <c r="H37" s="148"/>
      <c r="I37" s="148"/>
      <c r="J37" s="148"/>
      <c r="K37" s="148"/>
      <c r="L37" s="148"/>
      <c r="M37" s="148"/>
      <c r="N37" s="148"/>
      <c r="O37" s="148"/>
      <c r="P37" s="148"/>
      <c r="Q37" s="148"/>
      <c r="R37" s="148"/>
      <c r="S37" s="148"/>
      <c r="T37" s="148"/>
      <c r="U37" s="148"/>
      <c r="V37" s="148"/>
      <c r="W37" s="148"/>
      <c r="X37" s="167"/>
      <c r="Y37" s="137"/>
    </row>
    <row r="38" spans="1:25" x14ac:dyDescent="0.3">
      <c r="A38" s="166"/>
      <c r="B38" s="148"/>
      <c r="C38" s="148"/>
      <c r="D38" s="148"/>
      <c r="E38" s="148"/>
      <c r="F38" s="148"/>
      <c r="G38" s="148"/>
      <c r="H38" s="148"/>
      <c r="I38" s="148"/>
      <c r="J38" s="148"/>
      <c r="K38" s="148"/>
      <c r="L38" s="148"/>
      <c r="M38" s="148"/>
      <c r="N38" s="148"/>
      <c r="O38" s="148"/>
      <c r="P38" s="148"/>
      <c r="Q38" s="148"/>
      <c r="R38" s="148"/>
      <c r="S38" s="148"/>
      <c r="T38" s="148"/>
      <c r="U38" s="148"/>
      <c r="V38" s="148"/>
      <c r="W38" s="148"/>
      <c r="X38" s="167"/>
      <c r="Y38" s="137"/>
    </row>
    <row r="39" spans="1:25" x14ac:dyDescent="0.3">
      <c r="A39" s="166"/>
      <c r="B39" s="148"/>
      <c r="C39" s="148"/>
      <c r="D39" s="148"/>
      <c r="E39" s="148"/>
      <c r="F39" s="148"/>
      <c r="G39" s="148"/>
      <c r="H39" s="148"/>
      <c r="I39" s="148"/>
      <c r="J39" s="148"/>
      <c r="K39" s="148"/>
      <c r="L39" s="148"/>
      <c r="M39" s="148"/>
      <c r="N39" s="148"/>
      <c r="O39" s="148"/>
      <c r="P39" s="148"/>
      <c r="Q39" s="148"/>
      <c r="R39" s="148"/>
      <c r="S39" s="148"/>
      <c r="T39" s="148"/>
      <c r="U39" s="148"/>
      <c r="V39" s="148"/>
      <c r="W39" s="148"/>
      <c r="X39" s="167"/>
      <c r="Y39" s="137"/>
    </row>
    <row r="40" spans="1:25" ht="18" x14ac:dyDescent="0.3">
      <c r="A40" s="168"/>
      <c r="B40" s="149"/>
      <c r="C40" s="149"/>
      <c r="D40" s="149"/>
      <c r="E40" s="149"/>
      <c r="F40" s="150"/>
      <c r="G40" s="151"/>
      <c r="H40" s="150"/>
      <c r="I40" s="150"/>
      <c r="J40" s="150"/>
      <c r="K40" s="150"/>
      <c r="L40" s="150"/>
      <c r="M40" s="150"/>
      <c r="N40" s="150"/>
      <c r="O40" s="151"/>
      <c r="P40" s="150"/>
      <c r="Q40" s="150"/>
      <c r="R40" s="150"/>
      <c r="S40" s="150"/>
      <c r="T40" s="150"/>
      <c r="U40" s="150"/>
      <c r="V40" s="150"/>
      <c r="W40" s="148"/>
      <c r="X40" s="167"/>
      <c r="Y40" s="137"/>
    </row>
    <row r="41" spans="1:25" ht="18" x14ac:dyDescent="0.3">
      <c r="A41" s="168"/>
      <c r="B41" s="149"/>
      <c r="C41" s="149"/>
      <c r="D41" s="148"/>
      <c r="E41" s="148"/>
      <c r="F41" s="150"/>
      <c r="G41" s="151"/>
      <c r="H41" s="150"/>
      <c r="I41" s="150"/>
      <c r="J41" s="150"/>
      <c r="K41" s="150"/>
      <c r="L41" s="150"/>
      <c r="M41" s="150"/>
      <c r="N41" s="150"/>
      <c r="O41" s="151"/>
      <c r="P41" s="150"/>
      <c r="Q41" s="150"/>
      <c r="R41" s="150"/>
      <c r="S41" s="150"/>
      <c r="T41" s="150"/>
      <c r="U41" s="150"/>
      <c r="V41" s="150"/>
      <c r="W41" s="148"/>
      <c r="X41" s="167"/>
      <c r="Y41" s="137"/>
    </row>
    <row r="42" spans="1:25" ht="18" x14ac:dyDescent="0.3">
      <c r="A42" s="168"/>
      <c r="B42" s="149"/>
      <c r="C42" s="149"/>
      <c r="D42" s="148"/>
      <c r="E42" s="148"/>
      <c r="F42" s="150"/>
      <c r="G42" s="151"/>
      <c r="H42" s="150"/>
      <c r="I42" s="150"/>
      <c r="J42" s="150"/>
      <c r="K42" s="150"/>
      <c r="L42" s="150"/>
      <c r="M42" s="150"/>
      <c r="N42" s="150"/>
      <c r="O42" s="151"/>
      <c r="P42" s="150"/>
      <c r="Q42" s="150"/>
      <c r="R42" s="150"/>
      <c r="S42" s="150"/>
      <c r="T42" s="150"/>
      <c r="U42" s="150"/>
      <c r="V42" s="150"/>
      <c r="W42" s="148"/>
      <c r="X42" s="167"/>
      <c r="Y42" s="137"/>
    </row>
    <row r="43" spans="1:25" ht="18" x14ac:dyDescent="0.3">
      <c r="A43" s="168"/>
      <c r="B43" s="149"/>
      <c r="C43" s="149"/>
      <c r="D43" s="148"/>
      <c r="E43" s="148"/>
      <c r="F43" s="150"/>
      <c r="G43" s="151"/>
      <c r="H43" s="150"/>
      <c r="I43" s="150"/>
      <c r="J43" s="150"/>
      <c r="K43" s="150"/>
      <c r="L43" s="150"/>
      <c r="M43" s="150"/>
      <c r="N43" s="150"/>
      <c r="O43" s="151"/>
      <c r="P43" s="150"/>
      <c r="Q43" s="150"/>
      <c r="R43" s="150"/>
      <c r="S43" s="150"/>
      <c r="T43" s="150"/>
      <c r="U43" s="150"/>
      <c r="V43" s="150"/>
      <c r="W43" s="148"/>
      <c r="X43" s="167"/>
      <c r="Y43" s="137"/>
    </row>
    <row r="44" spans="1:25" ht="18" x14ac:dyDescent="0.3">
      <c r="A44" s="168"/>
      <c r="B44" s="149"/>
      <c r="C44" s="149"/>
      <c r="D44" s="148"/>
      <c r="E44" s="148"/>
      <c r="F44" s="150"/>
      <c r="G44" s="151"/>
      <c r="H44" s="150"/>
      <c r="I44" s="150"/>
      <c r="J44" s="150"/>
      <c r="K44" s="150"/>
      <c r="L44" s="150"/>
      <c r="M44" s="150"/>
      <c r="N44" s="150"/>
      <c r="O44" s="151"/>
      <c r="P44" s="150"/>
      <c r="Q44" s="150"/>
      <c r="R44" s="150"/>
      <c r="S44" s="150"/>
      <c r="T44" s="150"/>
      <c r="U44" s="150"/>
      <c r="V44" s="150"/>
      <c r="W44" s="148"/>
      <c r="X44" s="167"/>
      <c r="Y44" s="137"/>
    </row>
    <row r="45" spans="1:25" ht="18" x14ac:dyDescent="0.3">
      <c r="A45" s="168"/>
      <c r="B45" s="149"/>
      <c r="C45" s="149"/>
      <c r="D45" s="148"/>
      <c r="E45" s="148"/>
      <c r="F45" s="150"/>
      <c r="G45" s="151"/>
      <c r="H45" s="150"/>
      <c r="I45" s="150"/>
      <c r="J45" s="150"/>
      <c r="K45" s="150"/>
      <c r="L45" s="150"/>
      <c r="M45" s="150"/>
      <c r="N45" s="150"/>
      <c r="O45" s="151"/>
      <c r="P45" s="150"/>
      <c r="Q45" s="150"/>
      <c r="R45" s="150"/>
      <c r="S45" s="150"/>
      <c r="T45" s="150"/>
      <c r="U45" s="150"/>
      <c r="V45" s="150"/>
      <c r="W45" s="148"/>
      <c r="X45" s="167"/>
      <c r="Y45" s="137"/>
    </row>
    <row r="46" spans="1:25" ht="18" x14ac:dyDescent="0.3">
      <c r="A46" s="168"/>
      <c r="B46" s="149"/>
      <c r="C46" s="149"/>
      <c r="D46" s="148"/>
      <c r="E46" s="148"/>
      <c r="F46" s="150"/>
      <c r="G46" s="151"/>
      <c r="H46" s="150"/>
      <c r="I46" s="150"/>
      <c r="J46" s="150"/>
      <c r="K46" s="150"/>
      <c r="L46" s="150"/>
      <c r="M46" s="150"/>
      <c r="N46" s="150"/>
      <c r="O46" s="151"/>
      <c r="P46" s="150"/>
      <c r="Q46" s="150"/>
      <c r="R46" s="150"/>
      <c r="S46" s="150"/>
      <c r="T46" s="150"/>
      <c r="U46" s="150"/>
      <c r="V46" s="150"/>
      <c r="W46" s="148"/>
      <c r="X46" s="167"/>
      <c r="Y46" s="137"/>
    </row>
    <row r="47" spans="1:25" ht="18" x14ac:dyDescent="0.3">
      <c r="A47" s="168"/>
      <c r="B47" s="149"/>
      <c r="C47" s="149"/>
      <c r="D47" s="148"/>
      <c r="E47" s="148"/>
      <c r="F47" s="150"/>
      <c r="G47" s="151"/>
      <c r="H47" s="150"/>
      <c r="I47" s="150"/>
      <c r="J47" s="150"/>
      <c r="K47" s="150"/>
      <c r="L47" s="150"/>
      <c r="M47" s="150"/>
      <c r="N47" s="150"/>
      <c r="O47" s="151"/>
      <c r="P47" s="150"/>
      <c r="Q47" s="150"/>
      <c r="R47" s="150"/>
      <c r="S47" s="150"/>
      <c r="T47" s="150"/>
      <c r="U47" s="150"/>
      <c r="V47" s="150"/>
      <c r="W47" s="148"/>
      <c r="X47" s="167"/>
      <c r="Y47" s="137"/>
    </row>
    <row r="48" spans="1:25" ht="18" x14ac:dyDescent="0.3">
      <c r="A48" s="169"/>
      <c r="B48" s="170"/>
      <c r="C48" s="170"/>
      <c r="D48" s="171"/>
      <c r="E48" s="171"/>
      <c r="F48" s="172"/>
      <c r="G48" s="173"/>
      <c r="H48" s="172"/>
      <c r="I48" s="172"/>
      <c r="J48" s="172"/>
      <c r="K48" s="172"/>
      <c r="L48" s="172"/>
      <c r="M48" s="172"/>
      <c r="N48" s="172"/>
      <c r="O48" s="173"/>
      <c r="P48" s="172"/>
      <c r="Q48" s="172"/>
      <c r="R48" s="172"/>
      <c r="S48" s="172"/>
      <c r="T48" s="172"/>
      <c r="U48" s="172"/>
      <c r="V48" s="172"/>
      <c r="W48" s="171"/>
      <c r="X48" s="174"/>
      <c r="Y48" s="137"/>
    </row>
    <row r="49" spans="1:24" ht="18" x14ac:dyDescent="0.3">
      <c r="A49" s="159"/>
      <c r="B49" s="159"/>
      <c r="C49" s="159"/>
      <c r="D49" s="160"/>
      <c r="E49" s="160"/>
      <c r="F49" s="161"/>
      <c r="G49" s="162"/>
      <c r="H49" s="160"/>
      <c r="I49" s="159"/>
      <c r="J49" s="159"/>
      <c r="K49" s="159"/>
      <c r="L49" s="160"/>
      <c r="M49" s="160"/>
      <c r="N49" s="161"/>
      <c r="O49" s="162"/>
      <c r="P49" s="161"/>
      <c r="Q49" s="159"/>
      <c r="R49" s="159"/>
      <c r="S49" s="159"/>
      <c r="T49" s="160"/>
      <c r="U49" s="160"/>
      <c r="V49" s="160"/>
      <c r="W49" s="160"/>
      <c r="X49" s="160"/>
    </row>
    <row r="50" spans="1:24" ht="18" x14ac:dyDescent="0.3">
      <c r="A50" s="144"/>
      <c r="B50" s="144"/>
      <c r="C50" s="144"/>
      <c r="F50" s="145"/>
      <c r="G50" s="146"/>
      <c r="I50" s="144"/>
      <c r="J50" s="144"/>
      <c r="K50" s="144"/>
      <c r="N50" s="147"/>
      <c r="O50" s="146"/>
      <c r="P50" s="147"/>
      <c r="Q50" s="144"/>
      <c r="R50" s="144"/>
      <c r="S50" s="144"/>
    </row>
    <row r="51" spans="1:24" ht="18" x14ac:dyDescent="0.3">
      <c r="A51" s="144"/>
      <c r="B51" s="144"/>
      <c r="C51" s="144"/>
      <c r="F51" s="145"/>
      <c r="G51" s="146"/>
      <c r="I51" s="144"/>
      <c r="J51" s="144"/>
      <c r="K51" s="144"/>
      <c r="N51" s="147"/>
      <c r="O51" s="146"/>
      <c r="Q51" s="144"/>
      <c r="R51" s="144"/>
      <c r="S51" s="144"/>
    </row>
    <row r="52" spans="1:24" ht="18" x14ac:dyDescent="0.3">
      <c r="A52" s="144"/>
      <c r="B52" s="144"/>
      <c r="C52" s="144"/>
      <c r="F52" s="145"/>
      <c r="G52" s="146"/>
      <c r="I52" s="144"/>
      <c r="J52" s="144"/>
      <c r="K52" s="144"/>
      <c r="O52" s="146"/>
      <c r="Q52" s="144"/>
      <c r="R52" s="144"/>
      <c r="S52" s="144"/>
    </row>
    <row r="53" spans="1:24" ht="18" x14ac:dyDescent="0.3">
      <c r="A53" s="144"/>
      <c r="B53" s="144"/>
      <c r="C53" s="144"/>
      <c r="F53" s="145"/>
      <c r="G53" s="146"/>
      <c r="I53" s="144"/>
      <c r="J53" s="144"/>
      <c r="K53" s="144"/>
      <c r="O53" s="146"/>
      <c r="Q53" s="144"/>
      <c r="R53" s="144"/>
      <c r="S53" s="144"/>
    </row>
    <row r="54" spans="1:24" ht="18" x14ac:dyDescent="0.3">
      <c r="A54" s="144"/>
      <c r="B54" s="144"/>
      <c r="C54" s="144"/>
      <c r="G54" s="146"/>
      <c r="I54" s="144"/>
      <c r="J54" s="144"/>
      <c r="K54" s="144"/>
      <c r="O54" s="146"/>
      <c r="Q54" s="144"/>
      <c r="R54" s="144"/>
      <c r="S54" s="144"/>
    </row>
  </sheetData>
  <pageMargins left="0.7" right="0.7" top="0.75" bottom="0.75" header="0.3" footer="0.3"/>
  <pageSetup scale="55" fitToWidth="0" fitToHeight="0" orientation="landscape"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88895-17FA-4469-BF56-1690D4C35048}">
  <dimension ref="A1:V28"/>
  <sheetViews>
    <sheetView workbookViewId="0">
      <selection activeCell="F15" sqref="F15:F17"/>
    </sheetView>
  </sheetViews>
  <sheetFormatPr defaultColWidth="8.88671875" defaultRowHeight="14.4" x14ac:dyDescent="0.3"/>
  <cols>
    <col min="1" max="5" width="8.88671875" style="138"/>
    <col min="6" max="6" width="11.33203125" style="138" customWidth="1"/>
    <col min="7" max="8" width="8.88671875" style="138"/>
    <col min="9" max="9" width="14.6640625" style="138" bestFit="1" customWidth="1"/>
    <col min="10" max="16384" width="8.88671875" style="138"/>
  </cols>
  <sheetData>
    <row r="1" spans="1:22" x14ac:dyDescent="0.3">
      <c r="A1" s="138" t="s">
        <v>4</v>
      </c>
    </row>
    <row r="2" spans="1:22" x14ac:dyDescent="0.3">
      <c r="A2" s="138" t="s">
        <v>5</v>
      </c>
      <c r="J2" s="193" t="s">
        <v>5</v>
      </c>
      <c r="K2" s="148">
        <f>'BD+C credit category view'!M2</f>
        <v>0</v>
      </c>
    </row>
    <row r="3" spans="1:22" x14ac:dyDescent="0.3">
      <c r="A3" s="138" t="s">
        <v>6</v>
      </c>
      <c r="J3" s="193" t="s">
        <v>6</v>
      </c>
      <c r="K3" s="148">
        <f>'BD+C credit category view'!M3</f>
        <v>0</v>
      </c>
    </row>
    <row r="4" spans="1:22" ht="17.399999999999999" x14ac:dyDescent="0.3">
      <c r="A4" s="138" t="s">
        <v>7</v>
      </c>
      <c r="J4" s="193" t="s">
        <v>7</v>
      </c>
      <c r="K4" s="148">
        <f>'BD+C credit category view'!M4</f>
        <v>0</v>
      </c>
      <c r="Q4" s="328" t="s">
        <v>72</v>
      </c>
      <c r="R4" s="329"/>
      <c r="S4" s="329"/>
      <c r="T4" s="329"/>
      <c r="U4" s="329"/>
      <c r="V4" s="330"/>
    </row>
    <row r="5" spans="1:22" x14ac:dyDescent="0.3">
      <c r="J5" s="193" t="s">
        <v>8</v>
      </c>
      <c r="K5" s="148">
        <f>J19-K4-K3-K2</f>
        <v>110</v>
      </c>
      <c r="Q5" s="192" t="s">
        <v>5</v>
      </c>
      <c r="R5" s="192" t="s">
        <v>6</v>
      </c>
      <c r="S5" s="192" t="s">
        <v>7</v>
      </c>
      <c r="T5" s="194" t="s">
        <v>8</v>
      </c>
    </row>
    <row r="6" spans="1:22" x14ac:dyDescent="0.3">
      <c r="J6" s="243" t="s">
        <v>157</v>
      </c>
      <c r="Q6" s="194">
        <f>COUNTIF('BD+C impact area view '!A6:A32, "TRUE")</f>
        <v>0</v>
      </c>
      <c r="R6" s="194">
        <f>COUNTIF('BD+C impact area view '!B6:B32, "TRUE")</f>
        <v>0</v>
      </c>
      <c r="S6" s="194">
        <f>COUNTIF('BD+C impact area view '!C6:C32, "TRUE")</f>
        <v>0</v>
      </c>
      <c r="T6" s="194">
        <f>COUNTA('BD+C impact area view '!E6:E32)-Q6-R6-S6</f>
        <v>27</v>
      </c>
    </row>
    <row r="7" spans="1:22" x14ac:dyDescent="0.3">
      <c r="J7" s="244" t="s">
        <v>165</v>
      </c>
    </row>
    <row r="8" spans="1:22" x14ac:dyDescent="0.3">
      <c r="E8" s="149"/>
      <c r="H8" s="149"/>
      <c r="I8" s="148"/>
      <c r="J8" s="244" t="s">
        <v>165</v>
      </c>
      <c r="K8" s="148"/>
    </row>
    <row r="9" spans="1:22" ht="17.399999999999999" x14ac:dyDescent="0.3">
      <c r="E9" s="148"/>
      <c r="H9" s="149"/>
      <c r="Q9" s="334" t="s">
        <v>73</v>
      </c>
      <c r="R9" s="335"/>
      <c r="S9" s="335"/>
      <c r="T9" s="335"/>
      <c r="U9" s="335"/>
      <c r="V9" s="336"/>
    </row>
    <row r="10" spans="1:22" x14ac:dyDescent="0.3">
      <c r="A10" s="193"/>
      <c r="B10" s="193"/>
      <c r="C10" s="193"/>
      <c r="D10" s="193"/>
      <c r="E10" s="148"/>
      <c r="H10" s="148"/>
      <c r="Q10" s="192" t="s">
        <v>5</v>
      </c>
      <c r="R10" s="192" t="s">
        <v>6</v>
      </c>
      <c r="S10" s="192" t="s">
        <v>7</v>
      </c>
      <c r="T10" s="194" t="s">
        <v>8</v>
      </c>
    </row>
    <row r="11" spans="1:22" x14ac:dyDescent="0.3">
      <c r="E11" s="148"/>
      <c r="H11" s="148"/>
      <c r="Q11" s="194">
        <f>COUNTIF('BD+C impact area view '!I6:I25, "TRUE")</f>
        <v>0</v>
      </c>
      <c r="R11" s="194">
        <f>COUNTIF('BD+C impact area view '!J6:J25, "TRUE")</f>
        <v>0</v>
      </c>
      <c r="S11" s="194">
        <f>COUNTIF('BD+C impact area view '!K6:K25, "TRUE")</f>
        <v>0</v>
      </c>
      <c r="T11" s="194">
        <f>COUNTA('BD+C impact area view '!M6:M25)-Q11-R11-S11</f>
        <v>20</v>
      </c>
    </row>
    <row r="12" spans="1:22" x14ac:dyDescent="0.3">
      <c r="E12" s="148"/>
      <c r="F12" s="148"/>
      <c r="G12" s="148"/>
      <c r="H12" s="148"/>
    </row>
    <row r="13" spans="1:22" ht="17.399999999999999" x14ac:dyDescent="0.3">
      <c r="E13" s="148"/>
      <c r="F13" s="148"/>
      <c r="G13" s="148"/>
      <c r="H13" s="148"/>
      <c r="I13" s="148"/>
      <c r="J13" s="148"/>
      <c r="K13" s="148"/>
      <c r="Q13" s="334" t="s">
        <v>74</v>
      </c>
      <c r="R13" s="335"/>
      <c r="S13" s="335"/>
      <c r="T13" s="335"/>
      <c r="U13" s="335"/>
      <c r="V13" s="336"/>
    </row>
    <row r="14" spans="1:22" x14ac:dyDescent="0.3">
      <c r="E14" s="148"/>
      <c r="F14" s="148"/>
      <c r="G14" s="148"/>
      <c r="H14" s="148"/>
      <c r="I14" s="148"/>
      <c r="J14" s="148"/>
      <c r="K14" s="148"/>
      <c r="Q14" s="192" t="s">
        <v>5</v>
      </c>
      <c r="R14" s="192" t="s">
        <v>6</v>
      </c>
      <c r="S14" s="192" t="s">
        <v>7</v>
      </c>
      <c r="T14" s="194" t="s">
        <v>8</v>
      </c>
    </row>
    <row r="15" spans="1:22" ht="14.4" customHeight="1" x14ac:dyDescent="0.3">
      <c r="A15" s="148"/>
      <c r="B15" s="148"/>
      <c r="C15" s="148"/>
      <c r="D15" s="148"/>
      <c r="E15" s="332" t="s">
        <v>12</v>
      </c>
      <c r="F15" s="331" t="s">
        <v>159</v>
      </c>
      <c r="G15" s="148"/>
      <c r="H15" s="148"/>
      <c r="I15" s="246"/>
      <c r="J15" s="246"/>
      <c r="K15" s="246"/>
      <c r="Q15" s="194">
        <f>COUNTIF('BD+C impact area view '!Q6:Q24,"TRUE")</f>
        <v>0</v>
      </c>
      <c r="R15" s="194">
        <f>COUNTIF('BD+C impact area view '!R6:R24,"TRUE")</f>
        <v>0</v>
      </c>
      <c r="S15" s="194">
        <f>COUNTIF('BD+C impact area view '!S6:S24,"TRUE")</f>
        <v>0</v>
      </c>
      <c r="T15" s="194">
        <f>COUNTA('BD+C impact area view '!U6:U24)-Q15-R15-S15</f>
        <v>19</v>
      </c>
    </row>
    <row r="16" spans="1:22" x14ac:dyDescent="0.3">
      <c r="A16" s="148"/>
      <c r="B16" s="148"/>
      <c r="C16" s="148"/>
      <c r="D16" s="148"/>
      <c r="E16" s="332"/>
      <c r="F16" s="331"/>
      <c r="G16" s="148"/>
      <c r="H16" s="245"/>
      <c r="I16" s="247" t="s">
        <v>159</v>
      </c>
      <c r="J16" s="248">
        <f>'BD+C credit category view'!M6</f>
        <v>0</v>
      </c>
      <c r="K16" s="247" t="s">
        <v>9</v>
      </c>
      <c r="L16" s="137"/>
      <c r="Q16" s="243" t="s">
        <v>157</v>
      </c>
    </row>
    <row r="17" spans="1:17" x14ac:dyDescent="0.3">
      <c r="A17" s="148"/>
      <c r="B17" s="148"/>
      <c r="C17" s="148"/>
      <c r="D17" s="148"/>
      <c r="E17" s="332"/>
      <c r="F17" s="331"/>
      <c r="G17" s="148"/>
      <c r="H17" s="245"/>
      <c r="I17" s="247" t="s">
        <v>10</v>
      </c>
      <c r="J17" s="249">
        <v>40</v>
      </c>
      <c r="K17" s="247" t="s">
        <v>9</v>
      </c>
      <c r="L17" s="137"/>
      <c r="Q17" s="244" t="s">
        <v>168</v>
      </c>
    </row>
    <row r="18" spans="1:17" x14ac:dyDescent="0.3">
      <c r="A18" s="333" t="s">
        <v>13</v>
      </c>
      <c r="B18" s="333"/>
      <c r="C18" s="333"/>
      <c r="D18" s="333"/>
      <c r="E18" s="148">
        <f>'BD+C credit category view'!I9</f>
        <v>1</v>
      </c>
      <c r="F18" s="148">
        <f>'BD+C credit category view'!J9</f>
        <v>0</v>
      </c>
      <c r="G18" s="148"/>
      <c r="H18" s="245"/>
      <c r="I18" s="247" t="s">
        <v>11</v>
      </c>
      <c r="J18" s="249">
        <v>80</v>
      </c>
      <c r="K18" s="247" t="s">
        <v>9</v>
      </c>
      <c r="L18" s="137"/>
      <c r="Q18" s="244" t="s">
        <v>169</v>
      </c>
    </row>
    <row r="19" spans="1:17" x14ac:dyDescent="0.3">
      <c r="A19" s="333" t="s">
        <v>14</v>
      </c>
      <c r="B19" s="333"/>
      <c r="C19" s="333"/>
      <c r="D19" s="333"/>
      <c r="E19" s="148">
        <f>'BD+C credit category view'!I15</f>
        <v>15</v>
      </c>
      <c r="F19" s="148">
        <f>'BD+C credit category view'!J15</f>
        <v>0</v>
      </c>
      <c r="G19" s="148"/>
      <c r="H19" s="245"/>
      <c r="I19" s="247" t="s">
        <v>12</v>
      </c>
      <c r="J19" s="248">
        <f>'BD+C credit category view'!M7</f>
        <v>110</v>
      </c>
      <c r="K19" s="247" t="s">
        <v>9</v>
      </c>
      <c r="L19" s="137"/>
      <c r="Q19" s="244" t="s">
        <v>170</v>
      </c>
    </row>
    <row r="20" spans="1:17" x14ac:dyDescent="0.3">
      <c r="A20" s="199" t="s">
        <v>15</v>
      </c>
      <c r="B20" s="199"/>
      <c r="C20" s="199"/>
      <c r="D20" s="199"/>
      <c r="E20" s="148">
        <f>'BD+C credit category view'!I22</f>
        <v>11</v>
      </c>
      <c r="F20" s="148">
        <f>'BD+C credit category view'!J22</f>
        <v>0</v>
      </c>
      <c r="G20" s="148"/>
      <c r="H20" s="148"/>
      <c r="I20" s="243" t="s">
        <v>157</v>
      </c>
      <c r="J20" s="160"/>
      <c r="K20" s="160"/>
    </row>
    <row r="21" spans="1:17" x14ac:dyDescent="0.3">
      <c r="A21" s="199" t="s">
        <v>16</v>
      </c>
      <c r="B21" s="199"/>
      <c r="C21" s="199"/>
      <c r="D21" s="199"/>
      <c r="E21" s="148">
        <f>'BD+C credit category view'!I31</f>
        <v>9</v>
      </c>
      <c r="F21" s="148">
        <f>'BD+C credit category view'!J31</f>
        <v>0</v>
      </c>
      <c r="G21" s="148"/>
      <c r="H21" s="148"/>
      <c r="I21" s="244" t="s">
        <v>166</v>
      </c>
      <c r="J21" s="148"/>
      <c r="K21" s="148"/>
    </row>
    <row r="22" spans="1:17" x14ac:dyDescent="0.3">
      <c r="A22" s="199" t="s">
        <v>17</v>
      </c>
      <c r="B22" s="199"/>
      <c r="C22" s="199"/>
      <c r="D22" s="199"/>
      <c r="E22" s="148">
        <f>'BD+C credit category view'!I37</f>
        <v>33</v>
      </c>
      <c r="F22" s="148">
        <f>'BD+C credit category view'!J37</f>
        <v>0</v>
      </c>
      <c r="G22" s="148"/>
      <c r="H22" s="148"/>
      <c r="I22" s="148"/>
      <c r="J22" s="148"/>
      <c r="K22" s="148"/>
    </row>
    <row r="23" spans="1:17" x14ac:dyDescent="0.3">
      <c r="A23" s="199" t="s">
        <v>18</v>
      </c>
      <c r="B23" s="199"/>
      <c r="C23" s="199"/>
      <c r="D23" s="199"/>
      <c r="E23" s="148">
        <f>'BD+C credit category view'!I51</f>
        <v>18</v>
      </c>
      <c r="F23" s="148">
        <f>'BD+C credit category view'!J51</f>
        <v>0</v>
      </c>
      <c r="G23" s="148"/>
      <c r="H23" s="148"/>
      <c r="I23" s="148"/>
      <c r="J23" s="148"/>
      <c r="K23" s="148"/>
    </row>
    <row r="24" spans="1:17" x14ac:dyDescent="0.3">
      <c r="A24" s="199" t="s">
        <v>19</v>
      </c>
      <c r="B24" s="199"/>
      <c r="C24" s="199"/>
      <c r="D24" s="199"/>
      <c r="E24" s="148">
        <f>'BD+C credit category view'!I60</f>
        <v>13</v>
      </c>
      <c r="F24" s="148">
        <f>'BD+C credit category view'!J60</f>
        <v>0</v>
      </c>
      <c r="G24" s="148"/>
      <c r="H24" s="148"/>
      <c r="I24" s="148"/>
      <c r="J24" s="148"/>
      <c r="K24" s="148"/>
    </row>
    <row r="25" spans="1:17" x14ac:dyDescent="0.3">
      <c r="A25" s="200" t="s">
        <v>20</v>
      </c>
      <c r="B25" s="200"/>
      <c r="C25" s="200"/>
      <c r="D25" s="200"/>
      <c r="E25" s="148">
        <f>'BD+C credit category view'!I70</f>
        <v>10</v>
      </c>
      <c r="F25" s="148">
        <f>'BD+C credit category view'!J70</f>
        <v>0</v>
      </c>
      <c r="G25" s="148"/>
      <c r="H25" s="148"/>
      <c r="I25" s="148"/>
      <c r="J25" s="148"/>
      <c r="K25" s="148"/>
    </row>
    <row r="26" spans="1:17" x14ac:dyDescent="0.3">
      <c r="A26" s="243" t="s">
        <v>157</v>
      </c>
      <c r="B26" s="148"/>
      <c r="C26" s="148"/>
      <c r="D26" s="148"/>
      <c r="E26" s="148"/>
      <c r="F26" s="148"/>
      <c r="G26" s="148"/>
      <c r="H26" s="148"/>
      <c r="I26" s="148"/>
      <c r="J26" s="148"/>
      <c r="K26" s="148"/>
    </row>
    <row r="27" spans="1:17" x14ac:dyDescent="0.3">
      <c r="A27" s="244" t="s">
        <v>158</v>
      </c>
    </row>
    <row r="28" spans="1:17" x14ac:dyDescent="0.3">
      <c r="A28" s="244" t="s">
        <v>167</v>
      </c>
    </row>
  </sheetData>
  <sheetProtection algorithmName="SHA-512" hashValue="Yha8zqU23u3fl19pKyFyOBjpdKejOvTuI+gjOKL0IgsMGZ7TYPN2LY4SsmMe64CraCdUlxw/wV4TJ+iiHjNeaw==" saltValue="AmWmfQyADTutJF/5/vuIag==" spinCount="100000" sheet="1" objects="1" scenarios="1"/>
  <mergeCells count="7">
    <mergeCell ref="F15:F17"/>
    <mergeCell ref="E15:E17"/>
    <mergeCell ref="A18:D18"/>
    <mergeCell ref="A19:D19"/>
    <mergeCell ref="Q4:V4"/>
    <mergeCell ref="Q9:V9"/>
    <mergeCell ref="Q13:V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c7a8f07-2686-4e4f-ae0a-afdb6b833810" xsi:nil="true"/>
    <lcf76f155ced4ddcb4097134ff3c332f xmlns="7f6fc0cd-3f1b-4e34-a182-84100c4914e4">
      <Terms xmlns="http://schemas.microsoft.com/office/infopath/2007/PartnerControls"/>
    </lcf76f155ced4ddcb4097134ff3c332f>
    <SharedWithUsers xmlns="2c7a8f07-2686-4e4f-ae0a-afdb6b833810">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ABFE0B532E11044AEF3AC62CA104DD5" ma:contentTypeVersion="16" ma:contentTypeDescription="Create a new document." ma:contentTypeScope="" ma:versionID="4b44586c7037f7d75b12ff2fe0b51f3a">
  <xsd:schema xmlns:xsd="http://www.w3.org/2001/XMLSchema" xmlns:xs="http://www.w3.org/2001/XMLSchema" xmlns:p="http://schemas.microsoft.com/office/2006/metadata/properties" xmlns:ns2="7f6fc0cd-3f1b-4e34-a182-84100c4914e4" xmlns:ns3="2c7a8f07-2686-4e4f-ae0a-afdb6b833810" targetNamespace="http://schemas.microsoft.com/office/2006/metadata/properties" ma:root="true" ma:fieldsID="5e63ac79f96868fea050ca5002f21d1f" ns2:_="" ns3:_="">
    <xsd:import namespace="7f6fc0cd-3f1b-4e34-a182-84100c4914e4"/>
    <xsd:import namespace="2c7a8f07-2686-4e4f-ae0a-afdb6b8338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6fc0cd-3f1b-4e34-a182-84100c4914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7a8f07-2686-4e4f-ae0a-afdb6b83381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c1e3f64-84f5-4247-b2f0-ca28f4b54d8c}" ma:internalName="TaxCatchAll" ma:showField="CatchAllData" ma:web="2c7a8f07-2686-4e4f-ae0a-afdb6b83381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D9EF5B-C834-4965-BA98-FF1968DEE991}">
  <ds:schemaRefs>
    <ds:schemaRef ds:uri="http://schemas.microsoft.com/sharepoint/v3/contenttype/forms"/>
  </ds:schemaRefs>
</ds:datastoreItem>
</file>

<file path=customXml/itemProps2.xml><?xml version="1.0" encoding="utf-8"?>
<ds:datastoreItem xmlns:ds="http://schemas.openxmlformats.org/officeDocument/2006/customXml" ds:itemID="{3F170694-86A8-407E-8513-E6EFCE8C6EFA}">
  <ds:schemaRef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purl.org/dc/terms/"/>
    <ds:schemaRef ds:uri="http://purl.org/dc/dcmitype/"/>
    <ds:schemaRef ds:uri="2c7a8f07-2686-4e4f-ae0a-afdb6b833810"/>
    <ds:schemaRef ds:uri="7f6fc0cd-3f1b-4e34-a182-84100c4914e4"/>
    <ds:schemaRef ds:uri="http://www.w3.org/XML/1998/namespace"/>
  </ds:schemaRefs>
</ds:datastoreItem>
</file>

<file path=customXml/itemProps3.xml><?xml version="1.0" encoding="utf-8"?>
<ds:datastoreItem xmlns:ds="http://schemas.openxmlformats.org/officeDocument/2006/customXml" ds:itemID="{035C99CE-E701-4D25-8989-A6D828E0FB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6fc0cd-3f1b-4e34-a182-84100c4914e4"/>
    <ds:schemaRef ds:uri="2c7a8f07-2686-4e4f-ae0a-afdb6b8338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Cover</vt:lpstr>
      <vt:lpstr>BD+C credit category view</vt:lpstr>
      <vt:lpstr>BD+C impact area view </vt:lpstr>
      <vt:lpstr>Analytics</vt:lpstr>
      <vt:lpstr>Background</vt:lpstr>
      <vt:lpstr>Analytics!Print_Area</vt:lpstr>
      <vt:lpstr>'BD+C credit category view'!Print_Area</vt:lpstr>
      <vt:lpstr>'BD+C impact area view '!Print_Area</vt:lpstr>
    </vt:vector>
  </TitlesOfParts>
  <Manager/>
  <Company>US Green Building Council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Chrissy Ungaro</dc:creator>
  <cp:keywords/>
  <dc:description/>
  <cp:lastModifiedBy>Jeanne Friedlander</cp:lastModifiedBy>
  <cp:revision/>
  <cp:lastPrinted>2025-10-29T19:56:46Z</cp:lastPrinted>
  <dcterms:created xsi:type="dcterms:W3CDTF">2010-11-08T04:39:43Z</dcterms:created>
  <dcterms:modified xsi:type="dcterms:W3CDTF">2025-11-03T14:12:38Z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0x0101002ABFE0B532E11044AEF3AC62CA104DD5</vt:lpwstr>
  </property>
  <property fmtid="{D5CDD505-2E9C-101B-9397-08002B2CF9AE}" pid="3" name="MediaServiceImageTags">
    <vt:lpwstr/>
  </property>
</Properties>
</file>