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featurePropertyBag/featurePropertyBag.xml" ContentType="application/vnd.ms-excel.featurepropertyba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https://usgbc-my.sharepoint.com/personal/jfriedlander_usgbc_org/Documents/LEED/"/>
    </mc:Choice>
  </mc:AlternateContent>
  <xr:revisionPtr revIDLastSave="206" documentId="8_{275A7879-E5B8-47AB-B401-A8250A6D33C3}" xr6:coauthVersionLast="47" xr6:coauthVersionMax="47" xr10:uidLastSave="{09D12E5B-22D2-4915-A5DF-7AD80A1AF77A}"/>
  <bookViews>
    <workbookView xWindow="-28920" yWindow="2895" windowWidth="29040" windowHeight="15720" xr2:uid="{E863F08E-B8F4-4F10-867B-B4E0F61FDCB4}"/>
  </bookViews>
  <sheets>
    <sheet name="Cover" sheetId="28" r:id="rId1"/>
    <sheet name="BD+C credit category view" sheetId="21" r:id="rId2"/>
    <sheet name="BD+C impact area view " sheetId="23" r:id="rId3"/>
    <sheet name="Analytics" sheetId="27" r:id="rId4"/>
    <sheet name="Background" sheetId="24" state="hidden" r:id="rId5"/>
  </sheets>
  <definedNames>
    <definedName name="_xlnm.Print_Area" localSheetId="3">Analytics!$A$1:$X$48</definedName>
    <definedName name="_xlnm.Print_Area" localSheetId="1">'BD+C credit category view'!$A$1:$R$84</definedName>
    <definedName name="_xlnm.Print_Area" localSheetId="2">'BD+C impact area view '!$A$1:$V$34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7" i="21" l="1"/>
  <c r="M4" i="21"/>
  <c r="M3" i="21"/>
  <c r="M2" i="21"/>
  <c r="A84" i="21"/>
  <c r="C84" i="21"/>
  <c r="B84" i="21"/>
  <c r="J74" i="21"/>
  <c r="J75" i="21"/>
  <c r="J76" i="21"/>
  <c r="J77" i="21"/>
  <c r="J78" i="21"/>
  <c r="J79" i="21"/>
  <c r="J80" i="21"/>
  <c r="J81" i="21"/>
  <c r="J73" i="21"/>
  <c r="B13" i="23"/>
  <c r="C13" i="23"/>
  <c r="A13" i="23"/>
  <c r="R18" i="23"/>
  <c r="S18" i="23"/>
  <c r="R19" i="23"/>
  <c r="S19" i="23"/>
  <c r="Q19" i="23"/>
  <c r="Q18" i="23"/>
  <c r="R12" i="23"/>
  <c r="S12" i="23"/>
  <c r="R13" i="23"/>
  <c r="S13" i="23"/>
  <c r="R14" i="23"/>
  <c r="S14" i="23"/>
  <c r="R15" i="23"/>
  <c r="S15" i="23"/>
  <c r="R16" i="23"/>
  <c r="S16" i="23"/>
  <c r="R17" i="23"/>
  <c r="S17" i="23"/>
  <c r="Q13" i="23"/>
  <c r="Q14" i="23"/>
  <c r="Q15" i="23"/>
  <c r="Q16" i="23"/>
  <c r="Q17" i="23"/>
  <c r="Q12" i="23"/>
  <c r="R11" i="23"/>
  <c r="S11" i="23"/>
  <c r="Q11" i="23"/>
  <c r="R9" i="23"/>
  <c r="S9" i="23"/>
  <c r="Q9" i="23"/>
  <c r="J23" i="23"/>
  <c r="K23" i="23"/>
  <c r="J24" i="23"/>
  <c r="K24" i="23"/>
  <c r="J25" i="23"/>
  <c r="K25" i="23"/>
  <c r="J26" i="23"/>
  <c r="K26" i="23"/>
  <c r="I24" i="23"/>
  <c r="I25" i="23"/>
  <c r="I26" i="23"/>
  <c r="I23" i="23"/>
  <c r="J20" i="23"/>
  <c r="K20" i="23"/>
  <c r="J21" i="23"/>
  <c r="K21" i="23"/>
  <c r="J22" i="23"/>
  <c r="R26" i="23" s="1"/>
  <c r="K22" i="23"/>
  <c r="S26" i="23" s="1"/>
  <c r="I21" i="23"/>
  <c r="I22" i="23"/>
  <c r="Q26" i="23" s="1"/>
  <c r="I20" i="23"/>
  <c r="J18" i="23"/>
  <c r="K18" i="23"/>
  <c r="J19" i="23"/>
  <c r="K19" i="23"/>
  <c r="I19" i="23"/>
  <c r="I18" i="23"/>
  <c r="J15" i="23"/>
  <c r="K15" i="23"/>
  <c r="J16" i="23"/>
  <c r="K16" i="23"/>
  <c r="I16" i="23"/>
  <c r="I15" i="23"/>
  <c r="J14" i="23"/>
  <c r="K14" i="23"/>
  <c r="I14" i="23"/>
  <c r="I12" i="23"/>
  <c r="Q10" i="23" s="1"/>
  <c r="J12" i="23"/>
  <c r="R10" i="23" s="1"/>
  <c r="K12" i="23"/>
  <c r="S10" i="23" s="1"/>
  <c r="I13" i="23"/>
  <c r="J13" i="23"/>
  <c r="K13" i="23"/>
  <c r="J11" i="23"/>
  <c r="K11" i="23"/>
  <c r="I11" i="23"/>
  <c r="J8" i="23"/>
  <c r="K8" i="23"/>
  <c r="I8" i="23"/>
  <c r="J6" i="23"/>
  <c r="K6" i="23"/>
  <c r="I6" i="23"/>
  <c r="B33" i="23"/>
  <c r="R24" i="23" s="1"/>
  <c r="C33" i="23"/>
  <c r="S24" i="23" s="1"/>
  <c r="B34" i="23"/>
  <c r="R25" i="23" s="1"/>
  <c r="C34" i="23"/>
  <c r="S25" i="23" s="1"/>
  <c r="A34" i="23"/>
  <c r="Q25" i="23" s="1"/>
  <c r="A33" i="23"/>
  <c r="Q24" i="23" s="1"/>
  <c r="B31" i="23"/>
  <c r="R23" i="23" s="1"/>
  <c r="C31" i="23"/>
  <c r="S23" i="23" s="1"/>
  <c r="B32" i="23"/>
  <c r="C32" i="23"/>
  <c r="A32" i="23"/>
  <c r="A31" i="23"/>
  <c r="Q23" i="23" s="1"/>
  <c r="A30" i="23"/>
  <c r="B30" i="23"/>
  <c r="C30" i="23"/>
  <c r="B29" i="23"/>
  <c r="R22" i="23" s="1"/>
  <c r="C29" i="23"/>
  <c r="S22" i="23" s="1"/>
  <c r="A29" i="23"/>
  <c r="Q22" i="23" s="1"/>
  <c r="B22" i="23"/>
  <c r="C22" i="23"/>
  <c r="B23" i="23"/>
  <c r="C23" i="23"/>
  <c r="B24" i="23"/>
  <c r="C24" i="23"/>
  <c r="B25" i="23"/>
  <c r="C25" i="23"/>
  <c r="B26" i="23"/>
  <c r="C26" i="23"/>
  <c r="B27" i="23"/>
  <c r="C27" i="23"/>
  <c r="B28" i="23"/>
  <c r="C28" i="23"/>
  <c r="A23" i="23"/>
  <c r="A24" i="23"/>
  <c r="A25" i="23"/>
  <c r="A26" i="23"/>
  <c r="A27" i="23"/>
  <c r="A28" i="23"/>
  <c r="A22" i="23"/>
  <c r="B17" i="23"/>
  <c r="C17" i="23"/>
  <c r="B18" i="23"/>
  <c r="C18" i="23"/>
  <c r="B19" i="23"/>
  <c r="C19" i="23"/>
  <c r="B20" i="23"/>
  <c r="C20" i="23"/>
  <c r="B21" i="23"/>
  <c r="C21" i="23"/>
  <c r="A18" i="23"/>
  <c r="A19" i="23"/>
  <c r="A20" i="23"/>
  <c r="A21" i="23"/>
  <c r="A17" i="23"/>
  <c r="B15" i="23"/>
  <c r="J17" i="23" s="1"/>
  <c r="C15" i="23"/>
  <c r="K17" i="23" s="1"/>
  <c r="B16" i="23"/>
  <c r="R21" i="23" s="1"/>
  <c r="C16" i="23"/>
  <c r="S21" i="23" s="1"/>
  <c r="A16" i="23"/>
  <c r="Q21" i="23" s="1"/>
  <c r="A15" i="23"/>
  <c r="I17" i="23" s="1"/>
  <c r="B14" i="23"/>
  <c r="C14" i="23"/>
  <c r="A14" i="23"/>
  <c r="B10" i="23"/>
  <c r="C10" i="23"/>
  <c r="B11" i="23"/>
  <c r="C11" i="23"/>
  <c r="B12" i="23"/>
  <c r="C12" i="23"/>
  <c r="A11" i="23"/>
  <c r="A12" i="23"/>
  <c r="A10" i="23"/>
  <c r="B8" i="23"/>
  <c r="J9" i="23" s="1"/>
  <c r="R7" i="23" s="1"/>
  <c r="C8" i="23"/>
  <c r="K9" i="23" s="1"/>
  <c r="S7" i="23" s="1"/>
  <c r="B9" i="23"/>
  <c r="J10" i="23" s="1"/>
  <c r="R8" i="23" s="1"/>
  <c r="C9" i="23"/>
  <c r="K10" i="23" s="1"/>
  <c r="S8" i="23" s="1"/>
  <c r="A9" i="23"/>
  <c r="I10" i="23" s="1"/>
  <c r="Q8" i="23" s="1"/>
  <c r="A8" i="23"/>
  <c r="I9" i="23" s="1"/>
  <c r="Q7" i="23" s="1"/>
  <c r="B6" i="23"/>
  <c r="C6" i="23"/>
  <c r="B7" i="23"/>
  <c r="J7" i="23" s="1"/>
  <c r="R6" i="23" s="1"/>
  <c r="C7" i="23"/>
  <c r="K7" i="23" s="1"/>
  <c r="S6" i="23" s="1"/>
  <c r="A7" i="23"/>
  <c r="I7" i="23" s="1"/>
  <c r="Q6" i="23" s="1"/>
  <c r="A6" i="23"/>
  <c r="U25" i="23"/>
  <c r="U24" i="23"/>
  <c r="U23" i="23"/>
  <c r="U22" i="23"/>
  <c r="U21" i="23"/>
  <c r="U20" i="23"/>
  <c r="U19" i="23"/>
  <c r="U18" i="23"/>
  <c r="U13" i="23"/>
  <c r="U14" i="23"/>
  <c r="U15" i="23"/>
  <c r="U16" i="23"/>
  <c r="U17" i="23"/>
  <c r="U12" i="23"/>
  <c r="U11" i="23"/>
  <c r="U9" i="23"/>
  <c r="M24" i="23"/>
  <c r="M25" i="23"/>
  <c r="M26" i="23"/>
  <c r="M23" i="23"/>
  <c r="M21" i="23"/>
  <c r="M22" i="23"/>
  <c r="U26" i="23" s="1"/>
  <c r="M20" i="23"/>
  <c r="M19" i="23"/>
  <c r="M18" i="23"/>
  <c r="M17" i="23"/>
  <c r="M16" i="23"/>
  <c r="M15" i="23"/>
  <c r="M14" i="23"/>
  <c r="M13" i="23"/>
  <c r="M12" i="23"/>
  <c r="M11" i="23"/>
  <c r="M10" i="23"/>
  <c r="M9" i="23"/>
  <c r="U7" i="23" s="1"/>
  <c r="M8" i="23"/>
  <c r="M7" i="23"/>
  <c r="U6" i="23" s="1"/>
  <c r="M6" i="23"/>
  <c r="E34" i="23"/>
  <c r="E33" i="23"/>
  <c r="E32" i="23"/>
  <c r="E31" i="23"/>
  <c r="E30" i="23"/>
  <c r="E29" i="23"/>
  <c r="E22" i="23"/>
  <c r="E23" i="23"/>
  <c r="E24" i="23"/>
  <c r="E25" i="23"/>
  <c r="E26" i="23"/>
  <c r="E27" i="23"/>
  <c r="E28" i="23"/>
  <c r="E18" i="23"/>
  <c r="E19" i="23"/>
  <c r="E20" i="23"/>
  <c r="E21" i="23"/>
  <c r="E17" i="23"/>
  <c r="E16" i="23"/>
  <c r="E15" i="23"/>
  <c r="E14" i="23"/>
  <c r="E13" i="23"/>
  <c r="E12" i="23"/>
  <c r="E11" i="23"/>
  <c r="E10" i="23"/>
  <c r="U10" i="23" s="1"/>
  <c r="E9" i="23"/>
  <c r="U8" i="23" s="1"/>
  <c r="E8" i="23"/>
  <c r="E7" i="23"/>
  <c r="E6" i="23"/>
  <c r="J72" i="21" l="1"/>
  <c r="Q11" i="24"/>
  <c r="S6" i="24"/>
  <c r="S11" i="24"/>
  <c r="Q20" i="23"/>
  <c r="Q15" i="24" s="1"/>
  <c r="R6" i="24"/>
  <c r="Q6" i="24"/>
  <c r="R11" i="24"/>
  <c r="S20" i="23"/>
  <c r="S15" i="24" s="1"/>
  <c r="R20" i="23"/>
  <c r="R15" i="24" s="1"/>
  <c r="I71" i="21"/>
  <c r="I62" i="21"/>
  <c r="I53" i="21"/>
  <c r="I39" i="21"/>
  <c r="I33" i="21"/>
  <c r="I24" i="21"/>
  <c r="I17" i="21"/>
  <c r="I9" i="21"/>
  <c r="J14" i="21"/>
  <c r="T11" i="24" l="1"/>
  <c r="T6" i="24"/>
  <c r="T15" i="24"/>
  <c r="K14" i="21"/>
  <c r="G8" i="23" s="1"/>
  <c r="O9" i="23" l="1"/>
  <c r="W7" i="23"/>
  <c r="J82" i="21" l="1"/>
  <c r="K82" i="21" s="1"/>
  <c r="J57" i="21"/>
  <c r="K57" i="21" s="1"/>
  <c r="G32" i="23" s="1"/>
  <c r="J58" i="21"/>
  <c r="K58" i="21" s="1"/>
  <c r="O18" i="23" s="1"/>
  <c r="J59" i="21"/>
  <c r="K59" i="21" s="1"/>
  <c r="J60" i="21"/>
  <c r="K60" i="21" s="1"/>
  <c r="G34" i="23" s="1"/>
  <c r="W25" i="23" s="1"/>
  <c r="J27" i="21"/>
  <c r="K27" i="21" s="1"/>
  <c r="J28" i="21"/>
  <c r="K28" i="21" s="1"/>
  <c r="W14" i="23" s="1"/>
  <c r="J29" i="21"/>
  <c r="K29" i="21" s="1"/>
  <c r="J30" i="21"/>
  <c r="K30" i="21" s="1"/>
  <c r="J31" i="21"/>
  <c r="K31" i="21" s="1"/>
  <c r="W17" i="23" s="1"/>
  <c r="G33" i="23" l="1"/>
  <c r="W24" i="23" s="1"/>
  <c r="O19" i="23"/>
  <c r="O16" i="23"/>
  <c r="W16" i="23"/>
  <c r="G13" i="23"/>
  <c r="W15" i="23"/>
  <c r="O15" i="23"/>
  <c r="W13" i="23"/>
  <c r="O14" i="23"/>
  <c r="I84" i="21"/>
  <c r="J22" i="21" l="1"/>
  <c r="K22" i="21" s="1"/>
  <c r="G12" i="23" s="1"/>
  <c r="J21" i="21"/>
  <c r="K21" i="21" s="1"/>
  <c r="G11" i="23" s="1"/>
  <c r="O13" i="23" s="1"/>
  <c r="J15" i="21"/>
  <c r="J9" i="21" s="1"/>
  <c r="E25" i="24"/>
  <c r="K4" i="24"/>
  <c r="J71" i="21"/>
  <c r="J67" i="21"/>
  <c r="K67" i="21" s="1"/>
  <c r="O24" i="23" s="1"/>
  <c r="J68" i="21"/>
  <c r="K68" i="21" s="1"/>
  <c r="O25" i="23" s="1"/>
  <c r="J69" i="21"/>
  <c r="K69" i="21" s="1"/>
  <c r="O26" i="23" s="1"/>
  <c r="J66" i="21"/>
  <c r="J56" i="21"/>
  <c r="J53" i="21" s="1"/>
  <c r="J46" i="21"/>
  <c r="K46" i="21" s="1"/>
  <c r="G23" i="23" s="1"/>
  <c r="J47" i="21"/>
  <c r="K47" i="21" s="1"/>
  <c r="G24" i="23" s="1"/>
  <c r="J48" i="21"/>
  <c r="K48" i="21" s="1"/>
  <c r="G25" i="23" s="1"/>
  <c r="J49" i="21"/>
  <c r="K49" i="21" s="1"/>
  <c r="G26" i="23" s="1"/>
  <c r="J50" i="21"/>
  <c r="K50" i="21" s="1"/>
  <c r="G27" i="23" s="1"/>
  <c r="J51" i="21"/>
  <c r="K51" i="21" s="1"/>
  <c r="G28" i="23" s="1"/>
  <c r="J45" i="21"/>
  <c r="J37" i="21"/>
  <c r="K37" i="21" s="1"/>
  <c r="G16" i="23" s="1"/>
  <c r="W21" i="23" s="1"/>
  <c r="J36" i="21"/>
  <c r="J26" i="21"/>
  <c r="J24" i="21" s="1"/>
  <c r="J19" i="21"/>
  <c r="J20" i="21"/>
  <c r="J62" i="21" l="1"/>
  <c r="J39" i="21"/>
  <c r="J33" i="21"/>
  <c r="K15" i="21"/>
  <c r="G9" i="23" s="1"/>
  <c r="K36" i="21"/>
  <c r="K72" i="21"/>
  <c r="K56" i="21"/>
  <c r="G31" i="23" s="1"/>
  <c r="W23" i="23" s="1"/>
  <c r="K19" i="21"/>
  <c r="O11" i="23" s="1"/>
  <c r="E21" i="24"/>
  <c r="K3" i="24"/>
  <c r="K66" i="21"/>
  <c r="O23" i="23" s="1"/>
  <c r="E22" i="24"/>
  <c r="E23" i="24"/>
  <c r="E24" i="24"/>
  <c r="E19" i="24"/>
  <c r="O17" i="23" l="1"/>
  <c r="G15" i="23"/>
  <c r="W20" i="23" s="1"/>
  <c r="O10" i="23"/>
  <c r="W8" i="23"/>
  <c r="F23" i="24"/>
  <c r="F18" i="24"/>
  <c r="F22" i="24"/>
  <c r="F24" i="24"/>
  <c r="F20" i="24"/>
  <c r="F21" i="24"/>
  <c r="F25" i="24"/>
  <c r="K45" i="21"/>
  <c r="G22" i="23" s="1"/>
  <c r="K26" i="21"/>
  <c r="W12" i="23" s="1"/>
  <c r="K20" i="21"/>
  <c r="G10" i="23" s="1"/>
  <c r="W10" i="23" l="1"/>
  <c r="O12" i="23"/>
  <c r="E20" i="24"/>
  <c r="E18" i="24"/>
  <c r="J19" i="24" l="1"/>
  <c r="K2" i="24"/>
  <c r="J18" i="21"/>
  <c r="K18" i="21" l="1"/>
  <c r="W9" i="23" s="1"/>
  <c r="J17" i="21"/>
  <c r="J84" i="21" s="1"/>
  <c r="M6" i="21" s="1"/>
  <c r="J16" i="24" s="1"/>
  <c r="K5" i="24"/>
  <c r="F19" i="24" l="1"/>
</calcChain>
</file>

<file path=xl/sharedStrings.xml><?xml version="1.0" encoding="utf-8"?>
<sst xmlns="http://schemas.openxmlformats.org/spreadsheetml/2006/main" count="411" uniqueCount="186">
  <si>
    <t>Analytics</t>
  </si>
  <si>
    <t>How to use</t>
  </si>
  <si>
    <t xml:space="preserve">2. For each credit, enter the number of expected points in Columns A-C, titled "Yes", "Maybe" and "No". </t>
  </si>
  <si>
    <t xml:space="preserve">* Feel free to customize this tool in any way that best suits your needs. Whether you need to add new columns or simply rearrange the layout to better fit your workflow, this tool is designed with flexibility in mind. </t>
  </si>
  <si>
    <t>Data Validation</t>
  </si>
  <si>
    <t>Yes</t>
  </si>
  <si>
    <t>Maybe</t>
  </si>
  <si>
    <t>No</t>
  </si>
  <si>
    <t>Blank</t>
  </si>
  <si>
    <t>points</t>
  </si>
  <si>
    <t>Certified Project</t>
  </si>
  <si>
    <t>Platinum Project</t>
  </si>
  <si>
    <t>Total Possible Points</t>
  </si>
  <si>
    <t>Integrative Process, Planning and Assessments (IP)</t>
  </si>
  <si>
    <t>Location and Transportation (LT)</t>
  </si>
  <si>
    <t>Sustainable Sites (SS)</t>
  </si>
  <si>
    <t>Water Efficiency (WE)</t>
  </si>
  <si>
    <t>Energy and Atmosphere (EA)</t>
  </si>
  <si>
    <t>Materials and Resources (MR)</t>
  </si>
  <si>
    <t>Indoor Environmental Quality (EQ)</t>
  </si>
  <si>
    <t>Project Priorities (PR)</t>
  </si>
  <si>
    <t>Project scorecard analytics</t>
  </si>
  <si>
    <t>Total</t>
  </si>
  <si>
    <t>Project scorecard</t>
  </si>
  <si>
    <t>Responsible Party</t>
  </si>
  <si>
    <t>Notes</t>
  </si>
  <si>
    <t>IPp1</t>
  </si>
  <si>
    <t>Climate Resilience Assessment</t>
  </si>
  <si>
    <t>Required</t>
  </si>
  <si>
    <t>Key:</t>
  </si>
  <si>
    <t>IPp2</t>
  </si>
  <si>
    <t>Human Impact Assessment</t>
  </si>
  <si>
    <t>Prerequisite</t>
  </si>
  <si>
    <t>IPp3</t>
  </si>
  <si>
    <t>Credit</t>
  </si>
  <si>
    <t>IPc1</t>
  </si>
  <si>
    <t>LTc1</t>
  </si>
  <si>
    <t>LTc2</t>
  </si>
  <si>
    <t>Transportation Demand Management</t>
  </si>
  <si>
    <t>LTc3</t>
  </si>
  <si>
    <t>Electric Vehicles</t>
  </si>
  <si>
    <t>SSc1</t>
  </si>
  <si>
    <t>Heat Island Reduction</t>
  </si>
  <si>
    <t>SSc2</t>
  </si>
  <si>
    <t>WEp1</t>
  </si>
  <si>
    <t xml:space="preserve">Water Metering and Reporting </t>
  </si>
  <si>
    <t>WEc1</t>
  </si>
  <si>
    <t>WEc2</t>
  </si>
  <si>
    <t>EAp1</t>
  </si>
  <si>
    <t>EAp2</t>
  </si>
  <si>
    <t>EAp3</t>
  </si>
  <si>
    <t>EAp4</t>
  </si>
  <si>
    <t>Fundamental Refrigerant Management</t>
  </si>
  <si>
    <t>EAc1</t>
  </si>
  <si>
    <t>EAc2</t>
  </si>
  <si>
    <t>EAc3</t>
  </si>
  <si>
    <t>EAc4</t>
  </si>
  <si>
    <t>EAc5</t>
  </si>
  <si>
    <t>EAc6</t>
  </si>
  <si>
    <t>EAc7</t>
  </si>
  <si>
    <t>MRc1</t>
  </si>
  <si>
    <t>MRc2</t>
  </si>
  <si>
    <t>EQp1</t>
  </si>
  <si>
    <t>EQp2</t>
  </si>
  <si>
    <t>EQc1</t>
  </si>
  <si>
    <t>EQc2</t>
  </si>
  <si>
    <t>EQc3</t>
  </si>
  <si>
    <t>EQc4</t>
  </si>
  <si>
    <t>Resilient Spaces</t>
  </si>
  <si>
    <t>PRc1</t>
  </si>
  <si>
    <t>Project Priorities</t>
  </si>
  <si>
    <t>Decarbonization</t>
  </si>
  <si>
    <t>Quality of Life</t>
  </si>
  <si>
    <t>Ecological Conservation and Restoration</t>
  </si>
  <si>
    <t>IP Prereq</t>
  </si>
  <si>
    <t>LT Credit</t>
  </si>
  <si>
    <t>IP Credit</t>
  </si>
  <si>
    <t>SS Credit</t>
  </si>
  <si>
    <t>WE Prereq</t>
  </si>
  <si>
    <t>WE Credit</t>
  </si>
  <si>
    <t>EA Prereq</t>
  </si>
  <si>
    <t>EQ Prereq</t>
  </si>
  <si>
    <t>MR Credit</t>
  </si>
  <si>
    <t>EQ Credit</t>
  </si>
  <si>
    <t>EA Credit</t>
  </si>
  <si>
    <t>3. For each prerequisite, utilize the checkbox in Columns A-C, titled "Yes", "Maybe" and "No". Please note prerequisites do not count toward point totals.</t>
  </si>
  <si>
    <t>Carbon Assessment</t>
  </si>
  <si>
    <t>Integrative Design Process</t>
  </si>
  <si>
    <t>LTc4</t>
  </si>
  <si>
    <t>LTc5</t>
  </si>
  <si>
    <t>Sensitive Land Protection</t>
  </si>
  <si>
    <t>Equitable Development</t>
  </si>
  <si>
    <t>Compact and Connected Development</t>
  </si>
  <si>
    <t>SSp1</t>
  </si>
  <si>
    <t>SSc3</t>
  </si>
  <si>
    <t>SSc4</t>
  </si>
  <si>
    <t>SSc5</t>
  </si>
  <si>
    <t>SSc6</t>
  </si>
  <si>
    <t>Minimize Site Disturbance</t>
  </si>
  <si>
    <t>Biodiverse Habitat</t>
  </si>
  <si>
    <t>Accessible Outdoor Space</t>
  </si>
  <si>
    <t>Rainwater Management</t>
  </si>
  <si>
    <t>Enhanced Resilient Site Design</t>
  </si>
  <si>
    <t>Light Pollution Reduction</t>
  </si>
  <si>
    <t>WEp2</t>
  </si>
  <si>
    <t>Minimum Water Efficiency</t>
  </si>
  <si>
    <t>Water Metering and Leak Detection</t>
  </si>
  <si>
    <t>Enhanced Water Efficiency</t>
  </si>
  <si>
    <t>EAp5</t>
  </si>
  <si>
    <t>Operational Carbon Projection and Decarbonization Plan</t>
  </si>
  <si>
    <t>Minimum Energy Efficiency</t>
  </si>
  <si>
    <t>Fundamental Commissioning</t>
  </si>
  <si>
    <t>Energy Metering and Reporting</t>
  </si>
  <si>
    <t>Electrification</t>
  </si>
  <si>
    <t>Reduce Peak Thermal Loads</t>
  </si>
  <si>
    <t>Enhanced Energy Efficiency</t>
  </si>
  <si>
    <t>Renewable Energy</t>
  </si>
  <si>
    <t>Enhanced Commissioning</t>
  </si>
  <si>
    <t>Grid Interactive</t>
  </si>
  <si>
    <t>Enhanced Refrigerant Management</t>
  </si>
  <si>
    <t>MRp1</t>
  </si>
  <si>
    <t>MRp2</t>
  </si>
  <si>
    <t>MRc3</t>
  </si>
  <si>
    <t>MRc4</t>
  </si>
  <si>
    <t>MRc5</t>
  </si>
  <si>
    <t>Planning for Zero Waste Operations</t>
  </si>
  <si>
    <t xml:space="preserve">Quantify and Assess Embodied Carbon </t>
  </si>
  <si>
    <t>Building and Materials Reuse</t>
  </si>
  <si>
    <t xml:space="preserve">Reduce Embodied Carbon </t>
  </si>
  <si>
    <t>Low-Emitting Materials</t>
  </si>
  <si>
    <t xml:space="preserve">Building Product Selection and Procurement </t>
  </si>
  <si>
    <t>Construction and Demolition Waste Diversion</t>
  </si>
  <si>
    <t>EQp3</t>
  </si>
  <si>
    <t xml:space="preserve">Construction Management </t>
  </si>
  <si>
    <t>Fundamental Air Quality</t>
  </si>
  <si>
    <t>No Smoking or Vehicle Idling</t>
  </si>
  <si>
    <t>Enhanced Air Quality</t>
  </si>
  <si>
    <t>Occupant Experience</t>
  </si>
  <si>
    <t xml:space="preserve">Accessibility and Inclusion </t>
  </si>
  <si>
    <t>PRc2</t>
  </si>
  <si>
    <t>LEED AP</t>
  </si>
  <si>
    <t xml:space="preserve">LT Credit </t>
  </si>
  <si>
    <t>MR Prereq</t>
  </si>
  <si>
    <t>Building Product Selection and Procurement</t>
  </si>
  <si>
    <t>Low Emitting Materials</t>
  </si>
  <si>
    <t>Construction Management</t>
  </si>
  <si>
    <t>Accessibility and Inclusion</t>
  </si>
  <si>
    <t>SS Prereq</t>
  </si>
  <si>
    <t>Minimized Site Disturbance</t>
  </si>
  <si>
    <t>Water Metering and Reporting</t>
  </si>
  <si>
    <t>Related Charts</t>
  </si>
  <si>
    <t>Total Possible Points by Credit Category</t>
  </si>
  <si>
    <r>
      <t xml:space="preserve">LEED v5 for Building Design and Construction: Core and Shell
</t>
    </r>
    <r>
      <rPr>
        <b/>
        <sz val="12"/>
        <color rgb="FFF7F8F6"/>
        <rFont val="Bahnschrift Bold"/>
      </rPr>
      <t xml:space="preserve">
</t>
    </r>
    <r>
      <rPr>
        <b/>
        <sz val="14"/>
        <color rgb="FFF7F8F6"/>
        <rFont val="Bahnschrift Bold"/>
      </rPr>
      <t xml:space="preserve">
Scorecard</t>
    </r>
  </si>
  <si>
    <t xml:space="preserve">BD+C CS credit category view </t>
  </si>
  <si>
    <t xml:space="preserve">BD+C CS impact area view </t>
  </si>
  <si>
    <t>1. Navigate to the "BD+C CS Credit Category View" tab</t>
  </si>
  <si>
    <t>LEED v5 for Building Design and Construction: Core and Shell</t>
  </si>
  <si>
    <t>IPp4</t>
  </si>
  <si>
    <t>IPc2</t>
  </si>
  <si>
    <t>Tenant Guidelines</t>
  </si>
  <si>
    <t>Green Leases</t>
  </si>
  <si>
    <t>Total Anticipated Points</t>
  </si>
  <si>
    <t>Provides an overview of points per credit category</t>
  </si>
  <si>
    <t>Provides a directional indicator of the credits per impact area.</t>
  </si>
  <si>
    <t>Provides basic analytics derived from points, credit, and prerequisite data entered.</t>
  </si>
  <si>
    <t>"Yes": Points will count towards your total.</t>
  </si>
  <si>
    <t>"Maybe": Points will count towards your totals.</t>
  </si>
  <si>
    <t>"No": Points will not count towards your totals.</t>
  </si>
  <si>
    <t>Anticipated Decarbonization Credits</t>
  </si>
  <si>
    <t>Anticipated Quality of Life Credits</t>
  </si>
  <si>
    <t>Anticipated Ecological Conservation and Restoration Credits</t>
  </si>
  <si>
    <t>Total Anticipated Points Distribution</t>
  </si>
  <si>
    <t>Total Anticipated Points versus LEED Certification Levels</t>
  </si>
  <si>
    <t>Total Anticipated Points by Credit Category</t>
  </si>
  <si>
    <t>Project Priority 1:</t>
  </si>
  <si>
    <t>Insert credit name</t>
  </si>
  <si>
    <t>Project Priority 2:</t>
  </si>
  <si>
    <t>Project Priority 3:</t>
  </si>
  <si>
    <t>Project Priority 4:</t>
  </si>
  <si>
    <t>Project Priority 5:</t>
  </si>
  <si>
    <t>Project Priority 6:</t>
  </si>
  <si>
    <t>Project Priority 7:</t>
  </si>
  <si>
    <t>Project Priority 8:</t>
  </si>
  <si>
    <t>Project Priority 9:</t>
  </si>
  <si>
    <t>5. "BD+C CS impact area view " tab will automatically update with all the decisions you made on the "BD+C CS Credit Category View" tab; no additional input is needed.</t>
  </si>
  <si>
    <t>4. For Project Priorities, utilize column H to enter up to 9 credit names and anticipated points per credit.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</si>
</sst>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7" x14ac:knownFonts="1">
    <font>
      <sz val="11"/>
      <color theme="1"/>
      <name val="Calibri"/>
      <family val="2"/>
      <scheme val="minor"/>
    </font>
    <font>
      <sz val="10"/>
      <name val="Arial"/>
      <family val="2"/>
    </font>
    <font>
      <sz val="8"/>
      <color theme="1"/>
      <name val="Arial"/>
      <family val="2"/>
    </font>
    <font>
      <sz val="8"/>
      <name val="Arial"/>
      <family val="2"/>
    </font>
    <font>
      <b/>
      <sz val="12"/>
      <name val="Arial"/>
      <family val="2"/>
    </font>
    <font>
      <b/>
      <sz val="8"/>
      <name val="Arial"/>
      <family val="2"/>
    </font>
    <font>
      <sz val="11"/>
      <color theme="1"/>
      <name val="Arial"/>
      <family val="2"/>
    </font>
    <font>
      <b/>
      <sz val="7"/>
      <color rgb="FF7C7C7C"/>
      <name val="Arial"/>
      <family val="2"/>
    </font>
    <font>
      <sz val="18"/>
      <name val="Bahnschrift Light SemiCondensed"/>
      <family val="2"/>
    </font>
    <font>
      <b/>
      <sz val="11"/>
      <color theme="0"/>
      <name val="Bahnschrift SemiBold"/>
      <family val="2"/>
    </font>
    <font>
      <b/>
      <sz val="10"/>
      <name val="Bahnschrift Regular"/>
    </font>
    <font>
      <b/>
      <sz val="10"/>
      <color theme="0"/>
      <name val="Bahnschrift SemiBold"/>
      <family val="2"/>
    </font>
    <font>
      <sz val="11"/>
      <color theme="1"/>
      <name val="Bahnschrift SemiBold"/>
      <family val="2"/>
    </font>
    <font>
      <sz val="11"/>
      <name val="Bahnschrift Light SemiCondensed"/>
      <family val="2"/>
    </font>
    <font>
      <sz val="11"/>
      <color theme="1"/>
      <name val="Bahnschrift Regular"/>
    </font>
    <font>
      <sz val="11"/>
      <name val="Bahnschrift Regular"/>
    </font>
    <font>
      <sz val="11"/>
      <color theme="0"/>
      <name val="Bahnschrift SemiBold"/>
      <family val="2"/>
    </font>
    <font>
      <sz val="8"/>
      <name val="Calibri"/>
      <family val="2"/>
      <scheme val="minor"/>
    </font>
    <font>
      <sz val="11"/>
      <name val="Arial"/>
      <family val="2"/>
    </font>
    <font>
      <b/>
      <sz val="11"/>
      <color theme="1"/>
      <name val="Calibri"/>
      <family val="2"/>
      <scheme val="minor"/>
    </font>
    <font>
      <sz val="11"/>
      <color rgb="FF000000"/>
      <name val="Bahnschrift Light SemiCondensed"/>
      <family val="2"/>
    </font>
    <font>
      <b/>
      <sz val="11"/>
      <color theme="1"/>
      <name val="Bahnschrift Light SemiCondensed"/>
      <family val="2"/>
    </font>
    <font>
      <sz val="11"/>
      <color theme="1"/>
      <name val="Bahnschrift Light SemiCondensed"/>
      <family val="2"/>
    </font>
    <font>
      <sz val="14"/>
      <color theme="0"/>
      <name val="Bahnschrift Light SemiCondensed"/>
      <family val="2"/>
    </font>
    <font>
      <b/>
      <sz val="14"/>
      <color rgb="FF343434"/>
      <name val="Bahnschrift Bold"/>
    </font>
    <font>
      <b/>
      <sz val="22"/>
      <color rgb="FF343434"/>
      <name val="Bahnschrift Bold"/>
    </font>
    <font>
      <sz val="11"/>
      <color theme="1"/>
      <name val="Bahnschrift"/>
      <family val="2"/>
    </font>
    <font>
      <sz val="11"/>
      <color rgb="FF343434"/>
      <name val="Bahnschrift"/>
      <family val="2"/>
    </font>
    <font>
      <sz val="11"/>
      <color rgb="FF000000"/>
      <name val="Bahnschrift"/>
      <family val="2"/>
    </font>
    <font>
      <sz val="8"/>
      <color theme="1"/>
      <name val="Bahnschrift"/>
      <family val="2"/>
    </font>
    <font>
      <sz val="11"/>
      <name val="Bahnschrift"/>
      <family val="2"/>
    </font>
    <font>
      <sz val="10"/>
      <color rgb="FF343434"/>
      <name val="Bahnschrift"/>
      <family val="2"/>
    </font>
    <font>
      <sz val="10"/>
      <color theme="1"/>
      <name val="Calibri"/>
      <family val="2"/>
      <scheme val="minor"/>
    </font>
    <font>
      <b/>
      <sz val="11"/>
      <color rgb="FF343434"/>
      <name val="Bahnschrift Bold"/>
    </font>
    <font>
      <sz val="11"/>
      <name val="Bahnschrift SemiBold"/>
      <family val="2"/>
    </font>
    <font>
      <b/>
      <sz val="11"/>
      <name val="Bahnschrift SemiBold"/>
      <family val="2"/>
    </font>
    <font>
      <sz val="11"/>
      <color theme="0"/>
      <name val="Calibri"/>
      <family val="2"/>
      <scheme val="minor"/>
    </font>
    <font>
      <sz val="11"/>
      <color rgb="FF343434"/>
      <name val="Arial"/>
      <family val="2"/>
    </font>
    <font>
      <sz val="11"/>
      <name val="Calibri"/>
      <family val="2"/>
      <scheme val="minor"/>
    </font>
    <font>
      <sz val="10"/>
      <name val="Calibri"/>
      <family val="2"/>
      <scheme val="minor"/>
    </font>
    <font>
      <sz val="14"/>
      <name val="Calibri"/>
      <family val="2"/>
      <scheme val="minor"/>
    </font>
    <font>
      <b/>
      <sz val="10"/>
      <name val="Bahnschrift"/>
      <family val="2"/>
    </font>
    <font>
      <sz val="10"/>
      <name val="Bahnschrift"/>
      <family val="2"/>
    </font>
    <font>
      <b/>
      <sz val="14"/>
      <color rgb="FFF7F8F6"/>
      <name val="Bahnschrift Bold"/>
    </font>
    <font>
      <b/>
      <sz val="12"/>
      <color rgb="FFF7F8F6"/>
      <name val="Bahnschrift Bold"/>
    </font>
    <font>
      <sz val="8"/>
      <color theme="0"/>
      <name val="Calibri"/>
      <family val="2"/>
      <scheme val="minor"/>
    </font>
    <font>
      <sz val="8"/>
      <name val="Bahnschrift"/>
      <family val="2"/>
    </font>
    <font>
      <sz val="10"/>
      <color theme="0"/>
      <name val="Calibri"/>
      <family val="2"/>
      <scheme val="minor"/>
    </font>
    <font>
      <sz val="8"/>
      <name val="Bahnschrift Light SemiCondensed"/>
      <family val="2"/>
    </font>
    <font>
      <b/>
      <sz val="11"/>
      <name val="Bahnschrift Light SemiCondensed"/>
      <family val="2"/>
    </font>
    <font>
      <sz val="11"/>
      <color theme="0"/>
      <name val="Bahnschrift SemiCondensed"/>
      <family val="2"/>
    </font>
    <font>
      <sz val="14"/>
      <name val="Bahnschrift Light SemiCondensed"/>
      <family val="2"/>
    </font>
    <font>
      <sz val="12"/>
      <name val="Bahnschrift Light SemiCondensed"/>
      <family val="2"/>
    </font>
    <font>
      <u/>
      <sz val="11"/>
      <name val="Calibri"/>
      <family val="2"/>
      <scheme val="minor"/>
    </font>
    <font>
      <sz val="11"/>
      <color rgb="FF343434"/>
      <name val="Bahnschrift Bold"/>
    </font>
    <font>
      <sz val="11"/>
      <color rgb="FF000000"/>
      <name val="Bahnschrift Light SemiCondensed"/>
      <family val="2"/>
    </font>
    <font>
      <i/>
      <sz val="11"/>
      <name val="Bahnschrift Light SemiCondensed"/>
      <family val="2"/>
    </font>
  </fonts>
  <fills count="16">
    <fill>
      <patternFill patternType="none"/>
    </fill>
    <fill>
      <patternFill patternType="gray125"/>
    </fill>
    <fill>
      <patternFill patternType="solid">
        <fgColor theme="0"/>
        <bgColor indexed="64"/>
      </patternFill>
    </fill>
    <fill>
      <patternFill patternType="solid">
        <fgColor theme="1"/>
        <bgColor indexed="64"/>
      </patternFill>
    </fill>
    <fill>
      <patternFill patternType="solid">
        <fgColor theme="4"/>
        <bgColor indexed="64"/>
      </patternFill>
    </fill>
    <fill>
      <patternFill patternType="solid">
        <fgColor theme="5"/>
        <bgColor indexed="64"/>
      </patternFill>
    </fill>
    <fill>
      <patternFill patternType="solid">
        <fgColor theme="6"/>
        <bgColor indexed="64"/>
      </patternFill>
    </fill>
    <fill>
      <patternFill patternType="solid">
        <fgColor theme="7"/>
        <bgColor indexed="64"/>
      </patternFill>
    </fill>
    <fill>
      <patternFill patternType="solid">
        <fgColor theme="8"/>
        <bgColor indexed="64"/>
      </patternFill>
    </fill>
    <fill>
      <patternFill patternType="solid">
        <fgColor theme="9"/>
        <bgColor indexed="64"/>
      </patternFill>
    </fill>
    <fill>
      <patternFill patternType="solid">
        <fgColor theme="2"/>
        <bgColor indexed="64"/>
      </patternFill>
    </fill>
    <fill>
      <patternFill patternType="solid">
        <fgColor rgb="FF343434"/>
        <bgColor indexed="64"/>
      </patternFill>
    </fill>
    <fill>
      <patternFill patternType="solid">
        <fgColor theme="0" tint="-4.9989318521683403E-2"/>
        <bgColor indexed="64"/>
      </patternFill>
    </fill>
    <fill>
      <patternFill patternType="solid">
        <fgColor rgb="FF595E85"/>
        <bgColor rgb="FFF8F8F6"/>
      </patternFill>
    </fill>
    <fill>
      <patternFill patternType="solid">
        <fgColor rgb="FFF7F8F6"/>
        <bgColor indexed="64"/>
      </patternFill>
    </fill>
    <fill>
      <patternFill patternType="solid">
        <fgColor theme="0"/>
        <bgColor rgb="FF000000"/>
      </patternFill>
    </fill>
  </fills>
  <borders count="54">
    <border>
      <left/>
      <right/>
      <top/>
      <bottom/>
      <diagonal/>
    </border>
    <border>
      <left style="thin">
        <color theme="0"/>
      </left>
      <right style="thin">
        <color theme="0"/>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diagonal/>
    </border>
    <border>
      <left style="thin">
        <color theme="0"/>
      </left>
      <right/>
      <top style="thin">
        <color theme="0"/>
      </top>
      <bottom/>
      <diagonal/>
    </border>
    <border>
      <left/>
      <right/>
      <top style="thin">
        <color theme="0"/>
      </top>
      <bottom/>
      <diagonal/>
    </border>
    <border>
      <left style="thin">
        <color theme="0"/>
      </left>
      <right style="thin">
        <color theme="0"/>
      </right>
      <top style="thin">
        <color theme="0"/>
      </top>
      <bottom/>
      <diagonal/>
    </border>
    <border>
      <left style="thin">
        <color theme="0"/>
      </left>
      <right style="thin">
        <color theme="0"/>
      </right>
      <top/>
      <bottom/>
      <diagonal/>
    </border>
    <border>
      <left style="thin">
        <color theme="0"/>
      </left>
      <right/>
      <top/>
      <bottom style="thin">
        <color theme="0"/>
      </bottom>
      <diagonal/>
    </border>
    <border>
      <left/>
      <right style="thin">
        <color theme="0"/>
      </right>
      <top/>
      <bottom style="thin">
        <color theme="0"/>
      </bottom>
      <diagonal/>
    </border>
    <border>
      <left/>
      <right/>
      <top/>
      <bottom style="thin">
        <color theme="0"/>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style="thin">
        <color theme="0" tint="-4.9989318521683403E-2"/>
      </left>
      <right/>
      <top style="thin">
        <color theme="0" tint="-4.9989318521683403E-2"/>
      </top>
      <bottom style="thin">
        <color theme="0" tint="-4.9989318521683403E-2"/>
      </bottom>
      <diagonal/>
    </border>
    <border>
      <left/>
      <right style="thin">
        <color theme="0" tint="-4.9989318521683403E-2"/>
      </right>
      <top style="thin">
        <color theme="0" tint="-4.9989318521683403E-2"/>
      </top>
      <bottom style="thin">
        <color theme="0" tint="-4.9989318521683403E-2"/>
      </bottom>
      <diagonal/>
    </border>
    <border>
      <left style="thin">
        <color rgb="FF343434"/>
      </left>
      <right style="thin">
        <color rgb="FF343434"/>
      </right>
      <top style="thin">
        <color rgb="FF343434"/>
      </top>
      <bottom style="thin">
        <color rgb="FF343434"/>
      </bottom>
      <diagonal/>
    </border>
    <border>
      <left style="thin">
        <color indexed="64"/>
      </left>
      <right style="thin">
        <color theme="0"/>
      </right>
      <top style="thin">
        <color theme="0"/>
      </top>
      <bottom style="thin">
        <color theme="0"/>
      </bottom>
      <diagonal/>
    </border>
    <border>
      <left style="thin">
        <color theme="0"/>
      </left>
      <right style="thin">
        <color indexed="64"/>
      </right>
      <top style="thin">
        <color theme="0"/>
      </top>
      <bottom style="thin">
        <color theme="0"/>
      </bottom>
      <diagonal/>
    </border>
    <border>
      <left style="thin">
        <color indexed="64"/>
      </left>
      <right style="thin">
        <color theme="0"/>
      </right>
      <top style="thin">
        <color theme="0"/>
      </top>
      <bottom style="thin">
        <color indexed="64"/>
      </bottom>
      <diagonal/>
    </border>
    <border>
      <left style="thin">
        <color theme="0"/>
      </left>
      <right style="thin">
        <color theme="0"/>
      </right>
      <top/>
      <bottom style="thin">
        <color indexed="64"/>
      </bottom>
      <diagonal/>
    </border>
    <border>
      <left style="thin">
        <color theme="0"/>
      </left>
      <right style="thin">
        <color theme="0"/>
      </right>
      <top style="thin">
        <color theme="0"/>
      </top>
      <bottom style="thin">
        <color indexed="64"/>
      </bottom>
      <diagonal/>
    </border>
    <border>
      <left style="thin">
        <color theme="0"/>
      </left>
      <right style="thin">
        <color indexed="64"/>
      </right>
      <top style="thin">
        <color theme="0"/>
      </top>
      <bottom style="thin">
        <color indexed="64"/>
      </bottom>
      <diagonal/>
    </border>
    <border>
      <left/>
      <right/>
      <top style="thin">
        <color theme="0" tint="-4.9989318521683403E-2"/>
      </top>
      <bottom style="thin">
        <color theme="0" tint="-4.9989318521683403E-2"/>
      </bottom>
      <diagonal/>
    </border>
    <border>
      <left style="thin">
        <color indexed="64"/>
      </left>
      <right/>
      <top/>
      <bottom/>
      <diagonal/>
    </border>
    <border>
      <left/>
      <right style="thin">
        <color indexed="64"/>
      </right>
      <top/>
      <bottom/>
      <diagonal/>
    </border>
    <border>
      <left/>
      <right/>
      <top style="thin">
        <color indexed="64"/>
      </top>
      <bottom/>
      <diagonal/>
    </border>
    <border>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
      <left style="thin">
        <color rgb="FF343434"/>
      </left>
      <right style="thin">
        <color theme="0"/>
      </right>
      <top style="thin">
        <color rgb="FF343434"/>
      </top>
      <bottom style="thin">
        <color theme="0"/>
      </bottom>
      <diagonal/>
    </border>
    <border>
      <left style="thin">
        <color theme="0"/>
      </left>
      <right style="thin">
        <color theme="0"/>
      </right>
      <top style="thin">
        <color rgb="FF343434"/>
      </top>
      <bottom style="thin">
        <color theme="0"/>
      </bottom>
      <diagonal/>
    </border>
    <border>
      <left style="thin">
        <color theme="0"/>
      </left>
      <right style="thin">
        <color rgb="FF343434"/>
      </right>
      <top style="thin">
        <color rgb="FF343434"/>
      </top>
      <bottom style="thin">
        <color theme="0"/>
      </bottom>
      <diagonal/>
    </border>
    <border>
      <left style="thin">
        <color rgb="FF343434"/>
      </left>
      <right style="thin">
        <color theme="0"/>
      </right>
      <top style="thin">
        <color theme="0"/>
      </top>
      <bottom style="thin">
        <color theme="0"/>
      </bottom>
      <diagonal/>
    </border>
    <border>
      <left style="thin">
        <color theme="0"/>
      </left>
      <right style="thin">
        <color rgb="FF343434"/>
      </right>
      <top style="thin">
        <color theme="0"/>
      </top>
      <bottom style="thin">
        <color theme="0"/>
      </bottom>
      <diagonal/>
    </border>
    <border>
      <left style="thin">
        <color rgb="FF343434"/>
      </left>
      <right style="thin">
        <color theme="0"/>
      </right>
      <top style="thin">
        <color theme="0"/>
      </top>
      <bottom style="thin">
        <color rgb="FF343434"/>
      </bottom>
      <diagonal/>
    </border>
    <border>
      <left style="thin">
        <color theme="0"/>
      </left>
      <right style="thin">
        <color theme="0"/>
      </right>
      <top style="thin">
        <color theme="0"/>
      </top>
      <bottom style="thin">
        <color rgb="FF343434"/>
      </bottom>
      <diagonal/>
    </border>
    <border>
      <left/>
      <right style="thin">
        <color theme="0"/>
      </right>
      <top style="thin">
        <color theme="0"/>
      </top>
      <bottom style="thin">
        <color rgb="FF343434"/>
      </bottom>
      <diagonal/>
    </border>
    <border>
      <left style="thin">
        <color theme="0"/>
      </left>
      <right style="thin">
        <color rgb="FF343434"/>
      </right>
      <top style="thin">
        <color theme="0"/>
      </top>
      <bottom style="thin">
        <color rgb="FF343434"/>
      </bottom>
      <diagonal/>
    </border>
    <border>
      <left/>
      <right/>
      <top style="thin">
        <color rgb="FF343434"/>
      </top>
      <bottom style="thin">
        <color rgb="FF343434"/>
      </bottom>
      <diagonal/>
    </border>
    <border>
      <left/>
      <right style="thin">
        <color rgb="FF343434"/>
      </right>
      <top style="thin">
        <color rgb="FF343434"/>
      </top>
      <bottom style="thin">
        <color rgb="FF343434"/>
      </bottom>
      <diagonal/>
    </border>
    <border>
      <left style="thin">
        <color rgb="FF343434"/>
      </left>
      <right/>
      <top style="thin">
        <color rgb="FF343434"/>
      </top>
      <bottom style="thin">
        <color rgb="FF343434"/>
      </bottom>
      <diagonal/>
    </border>
    <border>
      <left style="thin">
        <color indexed="64"/>
      </left>
      <right style="thin">
        <color theme="0"/>
      </right>
      <top/>
      <bottom style="thin">
        <color theme="0"/>
      </bottom>
      <diagonal/>
    </border>
    <border>
      <left style="thin">
        <color theme="0"/>
      </left>
      <right style="thin">
        <color indexed="64"/>
      </right>
      <top/>
      <bottom style="thin">
        <color theme="0"/>
      </bottom>
      <diagonal/>
    </border>
    <border>
      <left style="thin">
        <color indexed="64"/>
      </left>
      <right style="thin">
        <color rgb="FF343434"/>
      </right>
      <top style="thin">
        <color indexed="64"/>
      </top>
      <bottom style="thin">
        <color rgb="FF343434"/>
      </bottom>
      <diagonal/>
    </border>
    <border>
      <left style="thin">
        <color rgb="FF343434"/>
      </left>
      <right style="thin">
        <color rgb="FF343434"/>
      </right>
      <top style="thin">
        <color indexed="64"/>
      </top>
      <bottom style="thin">
        <color rgb="FF343434"/>
      </bottom>
      <diagonal/>
    </border>
    <border>
      <left style="thin">
        <color rgb="FF343434"/>
      </left>
      <right style="thin">
        <color indexed="64"/>
      </right>
      <top style="thin">
        <color indexed="64"/>
      </top>
      <bottom style="thin">
        <color rgb="FF343434"/>
      </bottom>
      <diagonal/>
    </border>
    <border>
      <left style="thin">
        <color theme="0"/>
      </left>
      <right/>
      <top style="thin">
        <color theme="0"/>
      </top>
      <bottom style="thin">
        <color indexed="64"/>
      </bottom>
      <diagonal/>
    </border>
    <border>
      <left/>
      <right/>
      <top style="thin">
        <color theme="0"/>
      </top>
      <bottom style="thin">
        <color indexed="64"/>
      </bottom>
      <diagonal/>
    </border>
    <border>
      <left/>
      <right style="thin">
        <color theme="0"/>
      </right>
      <top style="thin">
        <color theme="0"/>
      </top>
      <bottom style="thin">
        <color indexed="64"/>
      </bottom>
      <diagonal/>
    </border>
  </borders>
  <cellStyleXfs count="2">
    <xf numFmtId="0" fontId="0" fillId="0" borderId="0"/>
    <xf numFmtId="0" fontId="1" fillId="0" borderId="0"/>
  </cellStyleXfs>
  <cellXfs count="337">
    <xf numFmtId="0" fontId="0" fillId="0" borderId="0" xfId="0"/>
    <xf numFmtId="0" fontId="6" fillId="0" borderId="1" xfId="0" applyFont="1" applyBorder="1"/>
    <xf numFmtId="0" fontId="4" fillId="2" borderId="1" xfId="0" applyFont="1" applyFill="1" applyBorder="1" applyAlignment="1">
      <alignment horizontal="center" vertical="center"/>
    </xf>
    <xf numFmtId="0" fontId="0" fillId="0" borderId="1" xfId="0" applyBorder="1"/>
    <xf numFmtId="0" fontId="0" fillId="0" borderId="1" xfId="0" applyBorder="1" applyAlignment="1">
      <alignment horizontal="left"/>
    </xf>
    <xf numFmtId="0" fontId="0" fillId="0" borderId="1" xfId="0" applyBorder="1" applyAlignment="1">
      <alignment horizontal="center"/>
    </xf>
    <xf numFmtId="0" fontId="0" fillId="0" borderId="1" xfId="0" applyBorder="1" applyAlignment="1">
      <alignment vertical="center"/>
    </xf>
    <xf numFmtId="0" fontId="20" fillId="0" borderId="1" xfId="0" applyFont="1" applyBorder="1" applyAlignment="1">
      <alignment vertical="center"/>
    </xf>
    <xf numFmtId="0" fontId="19" fillId="0" borderId="1" xfId="0" applyFont="1" applyBorder="1" applyAlignment="1">
      <alignment horizontal="left" vertical="center"/>
    </xf>
    <xf numFmtId="0" fontId="21" fillId="0" borderId="1" xfId="0" applyFont="1" applyBorder="1" applyAlignment="1">
      <alignment horizontal="left" vertical="center"/>
    </xf>
    <xf numFmtId="0" fontId="22" fillId="0" borderId="1" xfId="0" applyFont="1" applyBorder="1" applyAlignment="1">
      <alignment vertical="center"/>
    </xf>
    <xf numFmtId="0" fontId="22" fillId="0" borderId="1" xfId="0" applyFont="1" applyBorder="1" applyAlignment="1">
      <alignment horizontal="left" vertical="center"/>
    </xf>
    <xf numFmtId="9" fontId="0" fillId="0" borderId="1" xfId="0" applyNumberFormat="1" applyBorder="1" applyAlignment="1">
      <alignment vertical="center"/>
    </xf>
    <xf numFmtId="0" fontId="6" fillId="0" borderId="1" xfId="0" applyFont="1" applyBorder="1" applyAlignment="1">
      <alignment horizontal="center"/>
    </xf>
    <xf numFmtId="0" fontId="0" fillId="0" borderId="3" xfId="0" applyBorder="1"/>
    <xf numFmtId="0" fontId="24" fillId="2" borderId="1" xfId="0" applyFont="1" applyFill="1" applyBorder="1" applyAlignment="1">
      <alignment horizontal="left" vertical="center"/>
    </xf>
    <xf numFmtId="0" fontId="22" fillId="0" borderId="4" xfId="0" applyFont="1" applyBorder="1" applyAlignment="1">
      <alignment vertical="center"/>
    </xf>
    <xf numFmtId="0" fontId="20" fillId="0" borderId="3" xfId="0" applyFont="1" applyBorder="1" applyAlignment="1">
      <alignment vertical="center"/>
    </xf>
    <xf numFmtId="0" fontId="20" fillId="12" borderId="14" xfId="0" applyFont="1" applyFill="1" applyBorder="1" applyAlignment="1">
      <alignment horizontal="left" vertical="center"/>
    </xf>
    <xf numFmtId="0" fontId="0" fillId="2" borderId="1" xfId="0" applyFill="1" applyBorder="1" applyAlignment="1">
      <alignment horizontal="left"/>
    </xf>
    <xf numFmtId="0" fontId="13" fillId="2" borderId="1" xfId="0" applyFont="1" applyFill="1" applyBorder="1" applyAlignment="1">
      <alignment horizontal="left" vertical="center"/>
    </xf>
    <xf numFmtId="0" fontId="20" fillId="2" borderId="0" xfId="0" applyFont="1" applyFill="1" applyAlignment="1">
      <alignment horizontal="left" vertical="center"/>
    </xf>
    <xf numFmtId="0" fontId="20" fillId="2" borderId="11" xfId="0" applyFont="1" applyFill="1" applyBorder="1" applyAlignment="1">
      <alignment horizontal="left" vertical="center"/>
    </xf>
    <xf numFmtId="0" fontId="32" fillId="0" borderId="1" xfId="0" applyFont="1" applyBorder="1"/>
    <xf numFmtId="0" fontId="32" fillId="0" borderId="3" xfId="0" applyFont="1" applyBorder="1"/>
    <xf numFmtId="0" fontId="0" fillId="0" borderId="9" xfId="0" applyBorder="1" applyAlignment="1">
      <alignment vertical="center"/>
    </xf>
    <xf numFmtId="0" fontId="0" fillId="0" borderId="2" xfId="0" applyBorder="1" applyAlignment="1">
      <alignment horizontal="center"/>
    </xf>
    <xf numFmtId="0" fontId="33" fillId="2" borderId="1" xfId="0" applyFont="1" applyFill="1" applyBorder="1" applyAlignment="1">
      <alignment horizontal="left"/>
    </xf>
    <xf numFmtId="0" fontId="0" fillId="0" borderId="2" xfId="0" applyBorder="1" applyAlignment="1">
      <alignment vertical="center"/>
    </xf>
    <xf numFmtId="0" fontId="20" fillId="12" borderId="3" xfId="0" applyFont="1" applyFill="1" applyBorder="1" applyAlignment="1">
      <alignment vertical="center"/>
    </xf>
    <xf numFmtId="0" fontId="13" fillId="2" borderId="1" xfId="0" applyFont="1" applyFill="1" applyBorder="1" applyAlignment="1">
      <alignment horizontal="center" vertical="center"/>
    </xf>
    <xf numFmtId="0" fontId="8" fillId="2" borderId="1" xfId="0" applyFont="1" applyFill="1" applyBorder="1" applyAlignment="1">
      <alignment vertical="center"/>
    </xf>
    <xf numFmtId="0" fontId="5" fillId="2" borderId="1" xfId="0" applyFont="1" applyFill="1" applyBorder="1" applyAlignment="1">
      <alignment vertical="center"/>
    </xf>
    <xf numFmtId="0" fontId="4" fillId="2" borderId="1" xfId="0" applyFont="1" applyFill="1" applyBorder="1" applyAlignment="1">
      <alignment vertical="center"/>
    </xf>
    <xf numFmtId="0" fontId="25" fillId="2" borderId="4" xfId="0" applyFont="1" applyFill="1" applyBorder="1" applyAlignment="1">
      <alignment horizontal="left" vertical="center"/>
    </xf>
    <xf numFmtId="0" fontId="24" fillId="2" borderId="5" xfId="0" applyFont="1" applyFill="1" applyBorder="1" applyAlignment="1">
      <alignment horizontal="left" vertical="center"/>
    </xf>
    <xf numFmtId="0" fontId="24" fillId="2" borderId="2" xfId="0" applyFont="1" applyFill="1" applyBorder="1" applyAlignment="1">
      <alignment horizontal="left" vertical="center"/>
    </xf>
    <xf numFmtId="0" fontId="27" fillId="0" borderId="1" xfId="0" applyFont="1" applyBorder="1"/>
    <xf numFmtId="0" fontId="18" fillId="2" borderId="1" xfId="0" applyFont="1" applyFill="1" applyBorder="1" applyAlignment="1">
      <alignment horizontal="center" vertical="center"/>
    </xf>
    <xf numFmtId="0" fontId="6" fillId="0" borderId="2" xfId="0" applyFont="1" applyBorder="1"/>
    <xf numFmtId="0" fontId="26" fillId="0" borderId="9" xfId="0" applyFont="1" applyBorder="1" applyAlignment="1">
      <alignment horizontal="center"/>
    </xf>
    <xf numFmtId="0" fontId="26" fillId="2" borderId="1" xfId="0" applyFont="1" applyFill="1" applyBorder="1" applyAlignment="1">
      <alignment horizontal="center"/>
    </xf>
    <xf numFmtId="0" fontId="11" fillId="4" borderId="1" xfId="0" applyFont="1" applyFill="1" applyBorder="1" applyAlignment="1">
      <alignment horizontal="center" vertical="center"/>
    </xf>
    <xf numFmtId="0" fontId="6" fillId="0" borderId="4" xfId="0" applyFont="1" applyBorder="1"/>
    <xf numFmtId="0" fontId="28" fillId="12" borderId="14" xfId="0" applyFont="1" applyFill="1" applyBorder="1" applyAlignment="1">
      <alignment horizontal="center"/>
    </xf>
    <xf numFmtId="0" fontId="13" fillId="12" borderId="14" xfId="0" applyFont="1" applyFill="1" applyBorder="1" applyAlignment="1">
      <alignment horizontal="left"/>
    </xf>
    <xf numFmtId="0" fontId="31" fillId="0" borderId="18" xfId="0" applyFont="1" applyBorder="1" applyAlignment="1">
      <alignment horizontal="left"/>
    </xf>
    <xf numFmtId="0" fontId="13" fillId="2" borderId="1" xfId="0" applyFont="1" applyFill="1" applyBorder="1" applyAlignment="1">
      <alignment horizontal="center"/>
    </xf>
    <xf numFmtId="0" fontId="31" fillId="0" borderId="19" xfId="0" applyFont="1" applyBorder="1" applyAlignment="1">
      <alignment horizontal="center"/>
    </xf>
    <xf numFmtId="0" fontId="28" fillId="2" borderId="1" xfId="0" applyFont="1" applyFill="1" applyBorder="1" applyAlignment="1">
      <alignment horizontal="center"/>
    </xf>
    <xf numFmtId="0" fontId="31" fillId="0" borderId="20" xfId="0" applyFont="1" applyBorder="1" applyAlignment="1">
      <alignment horizontal="left"/>
    </xf>
    <xf numFmtId="0" fontId="31" fillId="0" borderId="23" xfId="0" applyFont="1" applyBorder="1" applyAlignment="1">
      <alignment horizontal="center"/>
    </xf>
    <xf numFmtId="0" fontId="29" fillId="0" borderId="1" xfId="0" applyFont="1" applyBorder="1"/>
    <xf numFmtId="0" fontId="29" fillId="2" borderId="1" xfId="0" applyFont="1" applyFill="1" applyBorder="1"/>
    <xf numFmtId="0" fontId="10" fillId="2" borderId="2" xfId="0" applyFont="1" applyFill="1" applyBorder="1"/>
    <xf numFmtId="0" fontId="10" fillId="2" borderId="1" xfId="0" applyFont="1" applyFill="1" applyBorder="1"/>
    <xf numFmtId="0" fontId="10" fillId="2" borderId="1" xfId="0" applyFont="1" applyFill="1" applyBorder="1" applyAlignment="1">
      <alignment horizontal="center"/>
    </xf>
    <xf numFmtId="0" fontId="2" fillId="0" borderId="1" xfId="0" applyFont="1" applyBorder="1"/>
    <xf numFmtId="0" fontId="2" fillId="0" borderId="3" xfId="0" applyFont="1" applyBorder="1"/>
    <xf numFmtId="0" fontId="6" fillId="0" borderId="3" xfId="0" applyFont="1" applyBorder="1"/>
    <xf numFmtId="0" fontId="26" fillId="0" borderId="1" xfId="0" applyFont="1" applyBorder="1"/>
    <xf numFmtId="0" fontId="26" fillId="2" borderId="1" xfId="0" applyFont="1" applyFill="1" applyBorder="1"/>
    <xf numFmtId="0" fontId="9" fillId="5" borderId="9" xfId="0" applyFont="1" applyFill="1" applyBorder="1" applyAlignment="1">
      <alignment horizontal="center" vertical="center"/>
    </xf>
    <xf numFmtId="0" fontId="12" fillId="0" borderId="9" xfId="0" applyFont="1" applyBorder="1"/>
    <xf numFmtId="0" fontId="13" fillId="2" borderId="2" xfId="0" applyFont="1" applyFill="1" applyBorder="1" applyAlignment="1">
      <alignment horizontal="left"/>
    </xf>
    <xf numFmtId="0" fontId="13" fillId="2" borderId="12" xfId="0" applyFont="1" applyFill="1" applyBorder="1" applyAlignment="1">
      <alignment horizontal="left"/>
    </xf>
    <xf numFmtId="0" fontId="13" fillId="2" borderId="3" xfId="0" applyFont="1" applyFill="1" applyBorder="1" applyAlignment="1">
      <alignment horizontal="center"/>
    </xf>
    <xf numFmtId="0" fontId="28" fillId="0" borderId="1" xfId="0" applyFont="1" applyBorder="1" applyAlignment="1">
      <alignment horizontal="center"/>
    </xf>
    <xf numFmtId="0" fontId="12" fillId="0" borderId="1" xfId="0" applyFont="1" applyBorder="1"/>
    <xf numFmtId="0" fontId="18" fillId="0" borderId="1" xfId="0" applyFont="1" applyBorder="1"/>
    <xf numFmtId="0" fontId="26" fillId="0" borderId="1" xfId="0" applyFont="1" applyBorder="1" applyAlignment="1">
      <alignment horizontal="center"/>
    </xf>
    <xf numFmtId="0" fontId="13" fillId="2" borderId="1" xfId="0" applyFont="1" applyFill="1" applyBorder="1"/>
    <xf numFmtId="0" fontId="26" fillId="0" borderId="9" xfId="0" applyFont="1" applyBorder="1"/>
    <xf numFmtId="0" fontId="13" fillId="2" borderId="2" xfId="0" applyFont="1" applyFill="1" applyBorder="1"/>
    <xf numFmtId="0" fontId="28" fillId="0" borderId="9" xfId="0" applyFont="1" applyBorder="1" applyAlignment="1">
      <alignment horizontal="center"/>
    </xf>
    <xf numFmtId="0" fontId="28" fillId="2" borderId="9" xfId="0" applyFont="1" applyFill="1" applyBorder="1" applyAlignment="1">
      <alignment horizontal="center"/>
    </xf>
    <xf numFmtId="0" fontId="28" fillId="2" borderId="3" xfId="0" applyFont="1" applyFill="1" applyBorder="1" applyAlignment="1">
      <alignment horizontal="center"/>
    </xf>
    <xf numFmtId="0" fontId="13" fillId="0" borderId="12" xfId="0" applyFont="1" applyBorder="1" applyAlignment="1">
      <alignment horizontal="left"/>
    </xf>
    <xf numFmtId="0" fontId="13" fillId="0" borderId="3" xfId="0" applyFont="1" applyBorder="1" applyAlignment="1">
      <alignment horizontal="center"/>
    </xf>
    <xf numFmtId="0" fontId="13" fillId="0" borderId="2" xfId="0" applyFont="1" applyBorder="1" applyAlignment="1">
      <alignment horizontal="left"/>
    </xf>
    <xf numFmtId="0" fontId="13" fillId="0" borderId="1" xfId="0" applyFont="1" applyBorder="1" applyAlignment="1">
      <alignment horizontal="center"/>
    </xf>
    <xf numFmtId="0" fontId="13" fillId="2" borderId="1" xfId="0" quotePrefix="1" applyFont="1" applyFill="1" applyBorder="1" applyAlignment="1">
      <alignment horizontal="center"/>
    </xf>
    <xf numFmtId="0" fontId="30" fillId="2" borderId="1" xfId="0" applyFont="1" applyFill="1" applyBorder="1"/>
    <xf numFmtId="0" fontId="14" fillId="0" borderId="2" xfId="0" applyFont="1" applyBorder="1"/>
    <xf numFmtId="0" fontId="14" fillId="0" borderId="1" xfId="0" applyFont="1" applyBorder="1"/>
    <xf numFmtId="0" fontId="14" fillId="0" borderId="1" xfId="0" applyFont="1" applyBorder="1" applyAlignment="1">
      <alignment horizontal="center"/>
    </xf>
    <xf numFmtId="0" fontId="3" fillId="0" borderId="1" xfId="0" applyFont="1" applyBorder="1"/>
    <xf numFmtId="0" fontId="14" fillId="2" borderId="2" xfId="0" applyFont="1" applyFill="1" applyBorder="1"/>
    <xf numFmtId="0" fontId="14" fillId="2" borderId="1" xfId="0" applyFont="1" applyFill="1" applyBorder="1"/>
    <xf numFmtId="0" fontId="15" fillId="2" borderId="2" xfId="0" applyFont="1" applyFill="1" applyBorder="1" applyAlignment="1">
      <alignment horizontal="left"/>
    </xf>
    <xf numFmtId="0" fontId="15" fillId="2" borderId="1" xfId="0" applyFont="1" applyFill="1" applyBorder="1" applyAlignment="1">
      <alignment horizontal="left"/>
    </xf>
    <xf numFmtId="0" fontId="15" fillId="2" borderId="1" xfId="0" applyFont="1" applyFill="1" applyBorder="1"/>
    <xf numFmtId="0" fontId="15" fillId="2" borderId="1" xfId="0" applyFont="1" applyFill="1" applyBorder="1" applyAlignment="1">
      <alignment horizontal="center"/>
    </xf>
    <xf numFmtId="0" fontId="16" fillId="10" borderId="1" xfId="0" applyFont="1" applyFill="1" applyBorder="1" applyAlignment="1">
      <alignment horizontal="center" vertical="center"/>
    </xf>
    <xf numFmtId="0" fontId="9" fillId="11" borderId="17" xfId="0" applyFont="1" applyFill="1" applyBorder="1" applyAlignment="1">
      <alignment horizontal="center" vertical="center"/>
    </xf>
    <xf numFmtId="0" fontId="16" fillId="11" borderId="17" xfId="0" applyFont="1" applyFill="1" applyBorder="1" applyAlignment="1">
      <alignment horizontal="right" vertical="center"/>
    </xf>
    <xf numFmtId="0" fontId="12" fillId="0" borderId="1" xfId="0" applyFont="1" applyBorder="1" applyAlignment="1">
      <alignment vertical="center"/>
    </xf>
    <xf numFmtId="0" fontId="7" fillId="2" borderId="3" xfId="0" applyFont="1" applyFill="1" applyBorder="1" applyAlignment="1">
      <alignment horizontal="center" vertical="center"/>
    </xf>
    <xf numFmtId="0" fontId="27" fillId="0" borderId="1" xfId="0" applyFont="1" applyBorder="1" applyAlignment="1">
      <alignment horizontal="center"/>
    </xf>
    <xf numFmtId="0" fontId="28" fillId="12" borderId="16" xfId="0" applyFont="1" applyFill="1" applyBorder="1" applyAlignment="1">
      <alignment horizontal="center"/>
    </xf>
    <xf numFmtId="0" fontId="13" fillId="0" borderId="3" xfId="0" applyFont="1" applyBorder="1" applyAlignment="1" applyProtection="1">
      <alignment horizontal="center"/>
      <protection locked="0"/>
    </xf>
    <xf numFmtId="0" fontId="25" fillId="2" borderId="4" xfId="0" applyFont="1" applyFill="1" applyBorder="1" applyAlignment="1">
      <alignment vertical="center"/>
    </xf>
    <xf numFmtId="0" fontId="25" fillId="2" borderId="5" xfId="0" applyFont="1" applyFill="1" applyBorder="1" applyAlignment="1">
      <alignment vertical="center"/>
    </xf>
    <xf numFmtId="0" fontId="27" fillId="0" borderId="5" xfId="0" applyFont="1" applyBorder="1"/>
    <xf numFmtId="0" fontId="1" fillId="14" borderId="31" xfId="0" applyFont="1" applyFill="1" applyBorder="1"/>
    <xf numFmtId="0" fontId="0" fillId="0" borderId="2" xfId="0" applyBorder="1"/>
    <xf numFmtId="0" fontId="1" fillId="14" borderId="25" xfId="0" applyFont="1" applyFill="1" applyBorder="1" applyAlignment="1">
      <alignment horizontal="left" vertical="top" wrapText="1"/>
    </xf>
    <xf numFmtId="0" fontId="1" fillId="14" borderId="25" xfId="0" applyFont="1" applyFill="1" applyBorder="1"/>
    <xf numFmtId="0" fontId="1" fillId="14" borderId="32" xfId="0" applyFont="1" applyFill="1" applyBorder="1" applyAlignment="1">
      <alignment horizontal="left" vertical="top" wrapText="1"/>
    </xf>
    <xf numFmtId="0" fontId="1" fillId="14" borderId="29" xfId="0" applyFont="1" applyFill="1" applyBorder="1"/>
    <xf numFmtId="0" fontId="1" fillId="14" borderId="30" xfId="0" applyFont="1" applyFill="1" applyBorder="1"/>
    <xf numFmtId="0" fontId="13" fillId="12" borderId="24" xfId="0" applyFont="1" applyFill="1" applyBorder="1" applyAlignment="1">
      <alignment vertical="center"/>
      <extLst>
        <ext xmlns:xfpb="http://schemas.microsoft.com/office/spreadsheetml/2022/featurepropertybag" uri="{C7286773-470A-42A8-94C5-96B5CB345126}">
          <xfpb:xfComplement i="0"/>
        </ext>
      </extLst>
    </xf>
    <xf numFmtId="0" fontId="18" fillId="0" borderId="7" xfId="0" applyFont="1" applyBorder="1"/>
    <xf numFmtId="0" fontId="18" fillId="0" borderId="1" xfId="0" applyFont="1" applyBorder="1" applyAlignment="1">
      <alignment wrapText="1"/>
    </xf>
    <xf numFmtId="0" fontId="18" fillId="0" borderId="7" xfId="0" applyFont="1" applyBorder="1" applyAlignment="1">
      <alignment wrapText="1"/>
    </xf>
    <xf numFmtId="0" fontId="6" fillId="0" borderId="9" xfId="0" applyFont="1" applyBorder="1"/>
    <xf numFmtId="0" fontId="33" fillId="2" borderId="4" xfId="0" applyFont="1" applyFill="1" applyBorder="1" applyAlignment="1">
      <alignment horizontal="left"/>
    </xf>
    <xf numFmtId="0" fontId="37" fillId="0" borderId="9" xfId="0" applyFont="1" applyBorder="1"/>
    <xf numFmtId="0" fontId="12" fillId="0" borderId="2" xfId="0" applyFont="1" applyBorder="1"/>
    <xf numFmtId="0" fontId="6" fillId="0" borderId="10" xfId="0" applyFont="1" applyBorder="1"/>
    <xf numFmtId="0" fontId="3" fillId="0" borderId="9" xfId="0" applyFont="1" applyBorder="1"/>
    <xf numFmtId="0" fontId="23" fillId="15" borderId="7" xfId="0" applyFont="1" applyFill="1" applyBorder="1" applyAlignment="1">
      <alignment vertical="center" wrapText="1"/>
    </xf>
    <xf numFmtId="0" fontId="23" fillId="15" borderId="8" xfId="0" applyFont="1" applyFill="1" applyBorder="1" applyAlignment="1">
      <alignment vertical="center" wrapText="1"/>
    </xf>
    <xf numFmtId="0" fontId="23" fillId="15" borderId="6" xfId="0" applyFont="1" applyFill="1" applyBorder="1" applyAlignment="1">
      <alignment vertical="center" wrapText="1"/>
    </xf>
    <xf numFmtId="0" fontId="23" fillId="2" borderId="7" xfId="0" applyFont="1" applyFill="1" applyBorder="1" applyAlignment="1">
      <alignment vertical="center" wrapText="1"/>
    </xf>
    <xf numFmtId="0" fontId="23" fillId="2" borderId="8" xfId="0" applyFont="1" applyFill="1" applyBorder="1" applyAlignment="1">
      <alignment vertical="center" wrapText="1"/>
    </xf>
    <xf numFmtId="0" fontId="23" fillId="2" borderId="6" xfId="0" applyFont="1" applyFill="1" applyBorder="1" applyAlignment="1">
      <alignment vertical="center" wrapText="1"/>
    </xf>
    <xf numFmtId="0" fontId="38" fillId="0" borderId="2" xfId="0" applyFont="1" applyBorder="1"/>
    <xf numFmtId="0" fontId="38" fillId="0" borderId="1" xfId="0" applyFont="1" applyBorder="1"/>
    <xf numFmtId="0" fontId="38" fillId="0" borderId="2" xfId="0" applyFont="1" applyBorder="1" applyAlignment="1">
      <alignment horizontal="center"/>
    </xf>
    <xf numFmtId="0" fontId="40" fillId="0" borderId="2" xfId="0" applyFont="1" applyBorder="1" applyAlignment="1">
      <alignment vertical="center"/>
    </xf>
    <xf numFmtId="0" fontId="40" fillId="0" borderId="9" xfId="0" applyFont="1" applyBorder="1" applyAlignment="1">
      <alignment vertical="center"/>
    </xf>
    <xf numFmtId="0" fontId="39" fillId="0" borderId="3" xfId="0" applyFont="1" applyBorder="1"/>
    <xf numFmtId="0" fontId="39" fillId="0" borderId="1" xfId="0" applyFont="1" applyBorder="1"/>
    <xf numFmtId="0" fontId="38" fillId="0" borderId="1" xfId="0" applyFont="1" applyBorder="1" applyAlignment="1">
      <alignment horizontal="center"/>
    </xf>
    <xf numFmtId="0" fontId="38" fillId="2" borderId="1" xfId="0" applyFont="1" applyFill="1" applyBorder="1" applyAlignment="1">
      <alignment horizontal="left"/>
    </xf>
    <xf numFmtId="0" fontId="40" fillId="0" borderId="1" xfId="0" applyFont="1" applyBorder="1" applyAlignment="1">
      <alignment vertical="center"/>
    </xf>
    <xf numFmtId="0" fontId="38" fillId="0" borderId="1" xfId="0" applyFont="1" applyBorder="1" applyAlignment="1">
      <alignment horizontal="left"/>
    </xf>
    <xf numFmtId="0" fontId="38" fillId="2" borderId="1" xfId="0" applyFont="1" applyFill="1" applyBorder="1"/>
    <xf numFmtId="0" fontId="38" fillId="2" borderId="1" xfId="0" applyFont="1" applyFill="1" applyBorder="1" applyAlignment="1">
      <alignment horizontal="center"/>
    </xf>
    <xf numFmtId="0" fontId="38" fillId="2" borderId="2" xfId="0" applyFont="1" applyFill="1" applyBorder="1" applyAlignment="1">
      <alignment horizontal="center"/>
    </xf>
    <xf numFmtId="0" fontId="40" fillId="2" borderId="2" xfId="0" applyFont="1" applyFill="1" applyBorder="1" applyAlignment="1">
      <alignment vertical="center"/>
    </xf>
    <xf numFmtId="0" fontId="27" fillId="0" borderId="9" xfId="0" applyFont="1" applyBorder="1"/>
    <xf numFmtId="0" fontId="6" fillId="0" borderId="9" xfId="0" applyFont="1" applyBorder="1" applyAlignment="1">
      <alignment horizontal="center"/>
    </xf>
    <xf numFmtId="0" fontId="18" fillId="2" borderId="9" xfId="0" applyFont="1" applyFill="1" applyBorder="1" applyAlignment="1">
      <alignment horizontal="center" vertical="center"/>
    </xf>
    <xf numFmtId="0" fontId="6" fillId="0" borderId="6" xfId="0" applyFont="1" applyBorder="1"/>
    <xf numFmtId="0" fontId="18" fillId="0" borderId="9" xfId="0" applyFont="1" applyBorder="1"/>
    <xf numFmtId="0" fontId="18" fillId="0" borderId="9" xfId="0" applyFont="1" applyBorder="1" applyAlignment="1">
      <alignment wrapText="1"/>
    </xf>
    <xf numFmtId="0" fontId="38" fillId="0" borderId="9" xfId="0" applyFont="1" applyBorder="1"/>
    <xf numFmtId="0" fontId="38" fillId="2" borderId="3" xfId="0" applyFont="1" applyFill="1" applyBorder="1" applyAlignment="1">
      <alignment horizontal="center"/>
    </xf>
    <xf numFmtId="0" fontId="38" fillId="2" borderId="3" xfId="0" applyFont="1" applyFill="1" applyBorder="1"/>
    <xf numFmtId="0" fontId="38" fillId="2" borderId="3" xfId="0" applyFont="1" applyFill="1" applyBorder="1" applyAlignment="1">
      <alignment horizontal="left"/>
    </xf>
    <xf numFmtId="0" fontId="40" fillId="2" borderId="3" xfId="0" applyFont="1" applyFill="1" applyBorder="1" applyAlignment="1">
      <alignment vertical="center"/>
    </xf>
    <xf numFmtId="0" fontId="38" fillId="2" borderId="34" xfId="0" applyFont="1" applyFill="1" applyBorder="1"/>
    <xf numFmtId="0" fontId="38" fillId="2" borderId="35" xfId="0" applyFont="1" applyFill="1" applyBorder="1"/>
    <xf numFmtId="0" fontId="38" fillId="2" borderId="36" xfId="0" applyFont="1" applyFill="1" applyBorder="1"/>
    <xf numFmtId="0" fontId="38" fillId="2" borderId="37" xfId="0" applyFont="1" applyFill="1" applyBorder="1"/>
    <xf numFmtId="0" fontId="38" fillId="2" borderId="38" xfId="0" applyFont="1" applyFill="1" applyBorder="1"/>
    <xf numFmtId="0" fontId="38" fillId="2" borderId="37" xfId="0" applyFont="1" applyFill="1" applyBorder="1" applyAlignment="1">
      <alignment horizontal="center"/>
    </xf>
    <xf numFmtId="0" fontId="38" fillId="2" borderId="39" xfId="0" applyFont="1" applyFill="1" applyBorder="1" applyAlignment="1">
      <alignment horizontal="center"/>
    </xf>
    <xf numFmtId="0" fontId="38" fillId="2" borderId="40" xfId="0" applyFont="1" applyFill="1" applyBorder="1" applyAlignment="1">
      <alignment horizontal="center"/>
    </xf>
    <xf numFmtId="0" fontId="38" fillId="2" borderId="40" xfId="0" applyFont="1" applyFill="1" applyBorder="1"/>
    <xf numFmtId="0" fontId="38" fillId="2" borderId="41" xfId="0" applyFont="1" applyFill="1" applyBorder="1" applyAlignment="1">
      <alignment horizontal="center"/>
    </xf>
    <xf numFmtId="0" fontId="40" fillId="2" borderId="41" xfId="0" applyFont="1" applyFill="1" applyBorder="1" applyAlignment="1">
      <alignment vertical="center"/>
    </xf>
    <xf numFmtId="0" fontId="38" fillId="2" borderId="42" xfId="0" applyFont="1" applyFill="1" applyBorder="1"/>
    <xf numFmtId="0" fontId="25" fillId="2" borderId="7" xfId="0" applyFont="1" applyFill="1" applyBorder="1" applyAlignment="1">
      <alignment horizontal="left" vertical="center"/>
    </xf>
    <xf numFmtId="0" fontId="13" fillId="2" borderId="9" xfId="0" applyFont="1" applyFill="1" applyBorder="1" applyAlignment="1">
      <alignment horizontal="center" vertical="center"/>
    </xf>
    <xf numFmtId="0" fontId="24" fillId="2" borderId="8" xfId="0" applyFont="1" applyFill="1" applyBorder="1" applyAlignment="1">
      <alignment horizontal="left" vertical="center"/>
    </xf>
    <xf numFmtId="0" fontId="24" fillId="2" borderId="6" xfId="0" applyFont="1" applyFill="1" applyBorder="1" applyAlignment="1">
      <alignment horizontal="left" vertical="center"/>
    </xf>
    <xf numFmtId="0" fontId="0" fillId="0" borderId="4" xfId="0" applyBorder="1"/>
    <xf numFmtId="0" fontId="0" fillId="0" borderId="5" xfId="0" applyBorder="1"/>
    <xf numFmtId="0" fontId="42" fillId="14" borderId="0" xfId="0" applyFont="1" applyFill="1"/>
    <xf numFmtId="0" fontId="42" fillId="14" borderId="26" xfId="0" applyFont="1" applyFill="1" applyBorder="1"/>
    <xf numFmtId="0" fontId="42" fillId="14" borderId="0" xfId="0" applyFont="1" applyFill="1" applyAlignment="1">
      <alignment wrapText="1"/>
    </xf>
    <xf numFmtId="0" fontId="36" fillId="2" borderId="1" xfId="0" applyFont="1" applyFill="1" applyBorder="1"/>
    <xf numFmtId="0" fontId="45" fillId="2" borderId="2" xfId="0" applyFont="1" applyFill="1" applyBorder="1"/>
    <xf numFmtId="0" fontId="45" fillId="2" borderId="3" xfId="0" applyFont="1" applyFill="1" applyBorder="1"/>
    <xf numFmtId="0" fontId="45" fillId="2" borderId="1" xfId="0" applyFont="1" applyFill="1" applyBorder="1"/>
    <xf numFmtId="0" fontId="42" fillId="14" borderId="27" xfId="0" applyFont="1" applyFill="1" applyBorder="1" applyAlignment="1">
      <alignment vertical="center"/>
    </xf>
    <xf numFmtId="0" fontId="42" fillId="14" borderId="0" xfId="0" applyFont="1" applyFill="1" applyAlignment="1">
      <alignment vertical="center"/>
    </xf>
    <xf numFmtId="0" fontId="46" fillId="2" borderId="1" xfId="0" applyFont="1" applyFill="1" applyBorder="1" applyAlignment="1">
      <alignment horizontal="center"/>
    </xf>
    <xf numFmtId="0" fontId="17" fillId="2" borderId="1" xfId="0" applyFont="1" applyFill="1" applyBorder="1"/>
    <xf numFmtId="0" fontId="17" fillId="2" borderId="1" xfId="0" applyFont="1" applyFill="1" applyBorder="1" applyAlignment="1">
      <alignment horizontal="center"/>
    </xf>
    <xf numFmtId="0" fontId="36" fillId="0" borderId="1" xfId="0" applyFont="1" applyBorder="1"/>
    <xf numFmtId="0" fontId="36" fillId="0" borderId="4" xfId="0" applyFont="1" applyBorder="1"/>
    <xf numFmtId="0" fontId="36" fillId="0" borderId="2" xfId="0" applyFont="1" applyBorder="1" applyAlignment="1">
      <alignment horizontal="center"/>
    </xf>
    <xf numFmtId="0" fontId="47" fillId="0" borderId="3" xfId="0" applyFont="1" applyBorder="1"/>
    <xf numFmtId="0" fontId="35" fillId="2" borderId="1" xfId="0" applyFont="1" applyFill="1" applyBorder="1" applyAlignment="1">
      <alignment vertical="center"/>
    </xf>
    <xf numFmtId="0" fontId="34" fillId="2" borderId="1" xfId="0" applyFont="1" applyFill="1" applyBorder="1" applyAlignment="1">
      <alignment vertical="center"/>
    </xf>
    <xf numFmtId="0" fontId="13" fillId="0" borderId="17" xfId="0" applyFont="1" applyBorder="1"/>
    <xf numFmtId="0" fontId="48" fillId="0" borderId="1" xfId="0" applyFont="1" applyBorder="1"/>
    <xf numFmtId="0" fontId="48" fillId="0" borderId="1" xfId="0" applyFont="1" applyBorder="1" applyAlignment="1">
      <alignment wrapText="1"/>
    </xf>
    <xf numFmtId="0" fontId="13" fillId="0" borderId="1" xfId="0" applyFont="1" applyBorder="1"/>
    <xf numFmtId="0" fontId="13" fillId="0" borderId="1" xfId="0" applyFont="1" applyBorder="1" applyAlignment="1">
      <alignment wrapText="1"/>
    </xf>
    <xf numFmtId="0" fontId="48" fillId="0" borderId="9" xfId="0" applyFont="1" applyBorder="1"/>
    <xf numFmtId="0" fontId="48" fillId="0" borderId="9" xfId="0" applyFont="1" applyBorder="1" applyAlignment="1">
      <alignment wrapText="1"/>
    </xf>
    <xf numFmtId="0" fontId="20" fillId="2" borderId="1" xfId="0" applyFont="1" applyFill="1" applyBorder="1" applyAlignment="1">
      <alignment horizontal="center" wrapText="1"/>
    </xf>
    <xf numFmtId="0" fontId="20" fillId="2" borderId="22" xfId="0" applyFont="1" applyFill="1" applyBorder="1" applyAlignment="1">
      <alignment horizontal="center" wrapText="1"/>
    </xf>
    <xf numFmtId="0" fontId="9" fillId="6" borderId="1" xfId="0" applyFont="1" applyFill="1" applyBorder="1" applyAlignment="1">
      <alignment horizontal="center" vertical="center"/>
    </xf>
    <xf numFmtId="0" fontId="9" fillId="7" borderId="1" xfId="0" applyFont="1" applyFill="1" applyBorder="1" applyAlignment="1">
      <alignment horizontal="center" vertical="center"/>
    </xf>
    <xf numFmtId="0" fontId="9" fillId="8" borderId="9" xfId="0" applyFont="1" applyFill="1" applyBorder="1" applyAlignment="1">
      <alignment horizontal="center" vertical="center"/>
    </xf>
    <xf numFmtId="0" fontId="9" fillId="9" borderId="1" xfId="0" applyFont="1" applyFill="1" applyBorder="1" applyAlignment="1">
      <alignment horizontal="center" vertical="center"/>
    </xf>
    <xf numFmtId="0" fontId="9" fillId="3" borderId="1" xfId="0" applyFont="1" applyFill="1" applyBorder="1" applyAlignment="1">
      <alignment horizontal="center" vertical="center"/>
    </xf>
    <xf numFmtId="0" fontId="27" fillId="2" borderId="1" xfId="0" applyFont="1" applyFill="1" applyBorder="1" applyAlignment="1">
      <alignment horizontal="left" wrapText="1"/>
    </xf>
    <xf numFmtId="0" fontId="13" fillId="12" borderId="14" xfId="0" applyFont="1" applyFill="1" applyBorder="1" applyAlignment="1">
      <alignment horizontal="left"/>
    </xf>
    <xf numFmtId="0" fontId="13" fillId="2" borderId="2" xfId="0" applyFont="1" applyFill="1" applyBorder="1" applyAlignment="1">
      <alignment horizontal="left"/>
    </xf>
    <xf numFmtId="0" fontId="13" fillId="0" borderId="2" xfId="0" applyFont="1" applyBorder="1" applyAlignment="1">
      <alignment horizontal="left"/>
    </xf>
    <xf numFmtId="0" fontId="13" fillId="12" borderId="0" xfId="0" applyFont="1" applyFill="1" applyBorder="1" applyAlignment="1">
      <alignment vertical="center"/>
      <extLst>
        <ext xmlns:xfpb="http://schemas.microsoft.com/office/spreadsheetml/2022/featurepropertybag" uri="{C7286773-470A-42A8-94C5-96B5CB345126}">
          <xfpb:xfComplement i="0"/>
        </ext>
      </extLst>
    </xf>
    <xf numFmtId="0" fontId="28" fillId="12" borderId="0" xfId="0" applyFont="1" applyFill="1" applyBorder="1" applyAlignment="1">
      <alignment horizontal="center"/>
    </xf>
    <xf numFmtId="0" fontId="13" fillId="12" borderId="0" xfId="0" applyFont="1" applyFill="1" applyBorder="1" applyAlignment="1">
      <alignment horizontal="left"/>
    </xf>
    <xf numFmtId="0" fontId="13" fillId="0" borderId="3" xfId="0" applyFont="1" applyBorder="1" applyAlignment="1">
      <alignment horizontal="center" vertical="center"/>
      <extLst>
        <ext xmlns:xfpb="http://schemas.microsoft.com/office/spreadsheetml/2022/featurepropertybag" uri="{C7286773-470A-42A8-94C5-96B5CB345126}">
          <xfpb:xfComplement i="0"/>
        </ext>
      </extLst>
    </xf>
    <xf numFmtId="0" fontId="51" fillId="0" borderId="3" xfId="0" applyFont="1" applyBorder="1" applyAlignment="1">
      <alignment vertical="center"/>
      <extLst>
        <ext xmlns:xfpb="http://schemas.microsoft.com/office/spreadsheetml/2022/featurepropertybag" uri="{C7286773-470A-42A8-94C5-96B5CB345126}">
          <xfpb:xfComplement i="0"/>
        </ext>
      </extLst>
    </xf>
    <xf numFmtId="0" fontId="51" fillId="0" borderId="1" xfId="0" applyFont="1" applyBorder="1" applyAlignment="1">
      <alignment vertical="center"/>
    </xf>
    <xf numFmtId="0" fontId="51" fillId="0" borderId="2" xfId="0" applyFont="1" applyBorder="1" applyAlignment="1">
      <alignment vertical="center"/>
    </xf>
    <xf numFmtId="0" fontId="13" fillId="0" borderId="4" xfId="0" applyFont="1" applyBorder="1"/>
    <xf numFmtId="0" fontId="52" fillId="0" borderId="1" xfId="0" applyFont="1" applyBorder="1"/>
    <xf numFmtId="0" fontId="13" fillId="0" borderId="2" xfId="0" applyFont="1" applyBorder="1"/>
    <xf numFmtId="0" fontId="49" fillId="11" borderId="17" xfId="0" applyFont="1" applyFill="1" applyBorder="1" applyAlignment="1">
      <alignment horizontal="center" vertical="center"/>
    </xf>
    <xf numFmtId="9" fontId="51" fillId="0" borderId="1" xfId="0" applyNumberFormat="1" applyFont="1" applyBorder="1" applyAlignment="1">
      <alignment vertical="center"/>
    </xf>
    <xf numFmtId="0" fontId="51" fillId="0" borderId="9" xfId="0" applyFont="1" applyBorder="1" applyAlignment="1">
      <alignment vertical="center"/>
    </xf>
    <xf numFmtId="0" fontId="53" fillId="0" borderId="1" xfId="0" applyFont="1" applyBorder="1"/>
    <xf numFmtId="0" fontId="54" fillId="0" borderId="0" xfId="0" applyFont="1" applyAlignment="1">
      <alignment horizontal="left" vertical="center" readingOrder="1"/>
    </xf>
    <xf numFmtId="0" fontId="38" fillId="2" borderId="4" xfId="0" applyFont="1" applyFill="1" applyBorder="1"/>
    <xf numFmtId="0" fontId="38" fillId="2" borderId="9" xfId="0" applyFont="1" applyFill="1" applyBorder="1"/>
    <xf numFmtId="0" fontId="17" fillId="2" borderId="33" xfId="0" applyFont="1" applyFill="1" applyBorder="1" applyAlignment="1">
      <alignment horizontal="left"/>
    </xf>
    <xf numFmtId="0" fontId="17" fillId="2" borderId="33" xfId="0" applyFont="1" applyFill="1" applyBorder="1" applyAlignment="1">
      <alignment horizontal="center" wrapText="1"/>
    </xf>
    <xf numFmtId="0" fontId="17" fillId="2" borderId="33" xfId="0" applyFont="1" applyFill="1" applyBorder="1" applyAlignment="1">
      <alignment horizontal="center"/>
    </xf>
    <xf numFmtId="0" fontId="31" fillId="0" borderId="46" xfId="0" applyFont="1" applyBorder="1" applyAlignment="1">
      <alignment horizontal="left"/>
    </xf>
    <xf numFmtId="0" fontId="31" fillId="0" borderId="47" xfId="0" applyFont="1" applyBorder="1" applyAlignment="1">
      <alignment horizontal="center"/>
    </xf>
    <xf numFmtId="0" fontId="49" fillId="11" borderId="17" xfId="0" applyFont="1" applyFill="1" applyBorder="1" applyAlignment="1">
      <alignment horizontal="center" vertical="center" wrapText="1"/>
    </xf>
    <xf numFmtId="0" fontId="13" fillId="12" borderId="14" xfId="0" applyFont="1" applyFill="1" applyBorder="1" applyAlignment="1">
      <alignment horizontal="left"/>
    </xf>
    <xf numFmtId="0" fontId="13" fillId="2" borderId="2" xfId="0" applyFont="1" applyFill="1" applyBorder="1" applyAlignment="1">
      <alignment horizontal="left"/>
    </xf>
    <xf numFmtId="0" fontId="50" fillId="4" borderId="1" xfId="0" applyFont="1" applyFill="1" applyBorder="1" applyAlignment="1">
      <alignment horizontal="center" vertical="center"/>
    </xf>
    <xf numFmtId="0" fontId="50" fillId="5" borderId="1" xfId="0" applyFont="1" applyFill="1" applyBorder="1" applyAlignment="1">
      <alignment horizontal="center" vertical="center"/>
    </xf>
    <xf numFmtId="0" fontId="50" fillId="6" borderId="1" xfId="0" applyFont="1" applyFill="1" applyBorder="1" applyAlignment="1">
      <alignment horizontal="center" vertical="center"/>
    </xf>
    <xf numFmtId="0" fontId="50" fillId="7" borderId="1" xfId="0" applyFont="1" applyFill="1" applyBorder="1" applyAlignment="1">
      <alignment horizontal="center" vertical="center"/>
    </xf>
    <xf numFmtId="0" fontId="50" fillId="8" borderId="1" xfId="0" applyFont="1" applyFill="1" applyBorder="1" applyAlignment="1">
      <alignment horizontal="center" vertical="center"/>
    </xf>
    <xf numFmtId="0" fontId="50" fillId="9" borderId="1" xfId="0" applyFont="1" applyFill="1" applyBorder="1" applyAlignment="1">
      <alignment horizontal="center" vertical="center"/>
    </xf>
    <xf numFmtId="0" fontId="51" fillId="0" borderId="3" xfId="0" applyFont="1" applyBorder="1" applyAlignment="1">
      <alignment vertical="center"/>
    </xf>
    <xf numFmtId="0" fontId="55" fillId="0" borderId="1" xfId="0" applyFont="1" applyBorder="1" applyAlignment="1">
      <alignment vertical="center"/>
    </xf>
    <xf numFmtId="0" fontId="50" fillId="3" borderId="1" xfId="0" applyFont="1" applyFill="1" applyBorder="1" applyAlignment="1">
      <alignment horizontal="center" vertical="center"/>
    </xf>
    <xf numFmtId="0" fontId="13" fillId="0" borderId="2" xfId="0" applyFont="1" applyBorder="1" applyAlignment="1">
      <alignment horizontal="left"/>
    </xf>
    <xf numFmtId="0" fontId="27" fillId="0" borderId="9" xfId="0" applyFont="1" applyBorder="1" applyAlignment="1">
      <alignment horizontal="center" vertical="center" wrapText="1"/>
    </xf>
    <xf numFmtId="0" fontId="27" fillId="0" borderId="9" xfId="0" applyFont="1" applyBorder="1" applyAlignment="1">
      <alignment horizontal="center"/>
    </xf>
    <xf numFmtId="0" fontId="18" fillId="0" borderId="2" xfId="0" applyFont="1" applyBorder="1"/>
    <xf numFmtId="0" fontId="9" fillId="11" borderId="48" xfId="0" applyFont="1" applyFill="1" applyBorder="1" applyAlignment="1">
      <alignment horizontal="left" vertical="center"/>
    </xf>
    <xf numFmtId="0" fontId="9" fillId="11" borderId="49" xfId="0" applyFont="1" applyFill="1" applyBorder="1" applyAlignment="1">
      <alignment horizontal="left" vertical="center"/>
    </xf>
    <xf numFmtId="0" fontId="9" fillId="11" borderId="50" xfId="0" applyFont="1" applyFill="1" applyBorder="1" applyAlignment="1">
      <alignment horizontal="left" vertical="center"/>
    </xf>
    <xf numFmtId="0" fontId="18" fillId="0" borderId="18" xfId="0" applyFont="1" applyBorder="1"/>
    <xf numFmtId="0" fontId="6" fillId="0" borderId="19" xfId="0" applyFont="1" applyBorder="1"/>
    <xf numFmtId="0" fontId="20" fillId="2" borderId="3" xfId="0" applyFont="1" applyFill="1" applyBorder="1" applyAlignment="1">
      <alignment horizontal="center" wrapText="1"/>
    </xf>
    <xf numFmtId="0" fontId="13" fillId="0" borderId="22" xfId="0" applyFont="1" applyBorder="1" applyAlignment="1">
      <alignment horizontal="left"/>
    </xf>
    <xf numFmtId="0" fontId="13" fillId="0" borderId="22" xfId="0" applyFont="1" applyBorder="1" applyAlignment="1">
      <alignment horizontal="center"/>
    </xf>
    <xf numFmtId="0" fontId="13" fillId="2" borderId="11" xfId="0" applyFont="1" applyFill="1" applyBorder="1" applyAlignment="1">
      <alignment horizontal="left" indent="1"/>
    </xf>
    <xf numFmtId="0" fontId="13" fillId="2" borderId="13" xfId="0" applyFont="1" applyFill="1" applyBorder="1" applyAlignment="1">
      <alignment horizontal="left" indent="1"/>
    </xf>
    <xf numFmtId="0" fontId="56" fillId="0" borderId="21" xfId="0" applyFont="1" applyBorder="1" applyAlignment="1">
      <alignment wrapText="1"/>
    </xf>
    <xf numFmtId="0" fontId="13" fillId="2" borderId="4" xfId="0" applyFont="1" applyFill="1" applyBorder="1" applyAlignment="1">
      <alignment horizontal="left" indent="1"/>
    </xf>
    <xf numFmtId="0" fontId="13" fillId="2" borderId="5" xfId="0" applyFont="1" applyFill="1" applyBorder="1" applyAlignment="1">
      <alignment horizontal="left" indent="1"/>
    </xf>
    <xf numFmtId="0" fontId="56" fillId="0" borderId="22" xfId="0" applyFont="1" applyBorder="1" applyAlignment="1">
      <alignment wrapText="1"/>
    </xf>
    <xf numFmtId="0" fontId="49" fillId="11" borderId="44" xfId="0" applyFont="1" applyFill="1" applyBorder="1" applyAlignment="1">
      <alignment horizontal="center" vertical="center" wrapText="1"/>
    </xf>
    <xf numFmtId="0" fontId="27" fillId="0" borderId="4" xfId="0" applyFont="1" applyBorder="1" applyAlignment="1">
      <alignment vertical="top"/>
    </xf>
    <xf numFmtId="0" fontId="42" fillId="14" borderId="0" xfId="0" applyFont="1" applyFill="1" applyAlignment="1">
      <alignment horizontal="left" vertical="center" wrapText="1"/>
    </xf>
    <xf numFmtId="0" fontId="42" fillId="14" borderId="26" xfId="0" applyFont="1" applyFill="1" applyBorder="1" applyAlignment="1">
      <alignment horizontal="left" vertical="center" wrapText="1"/>
    </xf>
    <xf numFmtId="0" fontId="41" fillId="14" borderId="0" xfId="0" applyFont="1" applyFill="1" applyAlignment="1">
      <alignment horizontal="left" vertical="center" wrapText="1"/>
    </xf>
    <xf numFmtId="0" fontId="41" fillId="14" borderId="26" xfId="0" applyFont="1" applyFill="1" applyBorder="1" applyAlignment="1">
      <alignment horizontal="left" vertical="center" wrapText="1"/>
    </xf>
    <xf numFmtId="0" fontId="41" fillId="14" borderId="0" xfId="0" applyFont="1" applyFill="1" applyAlignment="1">
      <alignment vertical="center"/>
    </xf>
    <xf numFmtId="0" fontId="42" fillId="14" borderId="0" xfId="0" applyFont="1" applyFill="1" applyAlignment="1">
      <alignment vertical="center" wrapText="1"/>
    </xf>
    <xf numFmtId="0" fontId="42" fillId="14" borderId="26" xfId="0" applyFont="1" applyFill="1" applyBorder="1" applyAlignment="1">
      <alignment vertical="center" wrapText="1"/>
    </xf>
    <xf numFmtId="0" fontId="43" fillId="13" borderId="31" xfId="1" applyFont="1" applyFill="1" applyBorder="1" applyAlignment="1">
      <alignment horizontal="left" vertical="center" wrapText="1" indent="1"/>
    </xf>
    <xf numFmtId="0" fontId="43" fillId="13" borderId="27" xfId="1" applyFont="1" applyFill="1" applyBorder="1" applyAlignment="1">
      <alignment horizontal="left" vertical="center" wrapText="1" indent="1"/>
    </xf>
    <xf numFmtId="0" fontId="43" fillId="13" borderId="28" xfId="1" applyFont="1" applyFill="1" applyBorder="1" applyAlignment="1">
      <alignment horizontal="left" vertical="center" wrapText="1" indent="1"/>
    </xf>
    <xf numFmtId="0" fontId="41" fillId="14" borderId="27" xfId="0" applyFont="1" applyFill="1" applyBorder="1" applyAlignment="1">
      <alignment vertical="center"/>
    </xf>
    <xf numFmtId="0" fontId="42" fillId="14" borderId="27" xfId="0" applyFont="1" applyFill="1" applyBorder="1" applyAlignment="1">
      <alignment vertical="center" wrapText="1"/>
    </xf>
    <xf numFmtId="0" fontId="42" fillId="14" borderId="28" xfId="0" applyFont="1" applyFill="1" applyBorder="1" applyAlignment="1">
      <alignment vertical="center" wrapText="1"/>
    </xf>
    <xf numFmtId="0" fontId="13" fillId="0" borderId="33" xfId="0" applyFont="1" applyBorder="1" applyAlignment="1">
      <alignment horizontal="center" wrapText="1"/>
    </xf>
    <xf numFmtId="0" fontId="13" fillId="12" borderId="14" xfId="0" applyFont="1" applyFill="1" applyBorder="1" applyAlignment="1">
      <alignment horizontal="left"/>
    </xf>
    <xf numFmtId="0" fontId="13" fillId="12" borderId="15" xfId="0" applyFont="1" applyFill="1" applyBorder="1" applyAlignment="1">
      <alignment horizontal="center" vertical="center"/>
    </xf>
    <xf numFmtId="0" fontId="13" fillId="12" borderId="16" xfId="0" applyFont="1" applyFill="1" applyBorder="1" applyAlignment="1">
      <alignment horizontal="center" vertical="center"/>
    </xf>
    <xf numFmtId="0" fontId="13" fillId="2" borderId="4" xfId="0" applyFont="1" applyFill="1" applyBorder="1" applyAlignment="1"/>
    <xf numFmtId="0" fontId="13" fillId="2" borderId="5" xfId="0" applyFont="1" applyFill="1" applyBorder="1" applyAlignment="1"/>
    <xf numFmtId="0" fontId="13" fillId="2" borderId="2" xfId="0" applyFont="1" applyFill="1" applyBorder="1" applyAlignment="1"/>
    <xf numFmtId="0" fontId="13" fillId="2" borderId="4" xfId="0" applyFont="1" applyFill="1" applyBorder="1" applyAlignment="1">
      <alignment horizontal="left"/>
    </xf>
    <xf numFmtId="0" fontId="13" fillId="2" borderId="5" xfId="0" applyFont="1" applyFill="1" applyBorder="1" applyAlignment="1">
      <alignment horizontal="left"/>
    </xf>
    <xf numFmtId="0" fontId="13" fillId="2" borderId="2" xfId="0" applyFont="1" applyFill="1" applyBorder="1" applyAlignment="1">
      <alignment horizontal="left"/>
    </xf>
    <xf numFmtId="0" fontId="16" fillId="10" borderId="5" xfId="0" applyFont="1" applyFill="1" applyBorder="1" applyAlignment="1">
      <alignment vertical="center"/>
    </xf>
    <xf numFmtId="0" fontId="16" fillId="10" borderId="2" xfId="0" applyFont="1" applyFill="1" applyBorder="1" applyAlignment="1">
      <alignment vertical="center"/>
    </xf>
    <xf numFmtId="0" fontId="20" fillId="12" borderId="33" xfId="0" applyFont="1" applyFill="1" applyBorder="1" applyAlignment="1">
      <alignment horizontal="center" vertical="center"/>
    </xf>
    <xf numFmtId="0" fontId="20" fillId="0" borderId="33" xfId="0" applyFont="1" applyBorder="1" applyAlignment="1">
      <alignment horizontal="center" vertical="center"/>
    </xf>
    <xf numFmtId="0" fontId="9" fillId="4" borderId="5" xfId="0" applyFont="1" applyFill="1" applyBorder="1" applyAlignment="1">
      <alignment vertical="center"/>
    </xf>
    <xf numFmtId="0" fontId="9" fillId="4" borderId="2" xfId="0" applyFont="1" applyFill="1" applyBorder="1" applyAlignment="1">
      <alignment vertical="center"/>
    </xf>
    <xf numFmtId="0" fontId="13" fillId="2" borderId="11" xfId="0" applyFont="1" applyFill="1" applyBorder="1" applyAlignment="1"/>
    <xf numFmtId="0" fontId="13" fillId="2" borderId="13" xfId="0" applyFont="1" applyFill="1" applyBorder="1" applyAlignment="1"/>
    <xf numFmtId="0" fontId="13" fillId="2" borderId="12" xfId="0" applyFont="1" applyFill="1" applyBorder="1" applyAlignment="1"/>
    <xf numFmtId="0" fontId="9" fillId="7" borderId="5" xfId="0" applyFont="1" applyFill="1" applyBorder="1" applyAlignment="1">
      <alignment vertical="center"/>
    </xf>
    <xf numFmtId="0" fontId="9" fillId="7" borderId="2" xfId="0" applyFont="1" applyFill="1" applyBorder="1" applyAlignment="1">
      <alignment vertical="center"/>
    </xf>
    <xf numFmtId="0" fontId="13" fillId="2" borderId="1" xfId="0" applyFont="1" applyFill="1" applyBorder="1" applyAlignment="1"/>
    <xf numFmtId="0" fontId="13" fillId="2" borderId="1" xfId="0" applyFont="1" applyFill="1" applyBorder="1" applyAlignment="1">
      <alignment horizontal="left"/>
    </xf>
    <xf numFmtId="0" fontId="13" fillId="2" borderId="11" xfId="0" applyFont="1" applyFill="1" applyBorder="1" applyAlignment="1">
      <alignment horizontal="left"/>
    </xf>
    <xf numFmtId="0" fontId="13" fillId="2" borderId="13" xfId="0" applyFont="1" applyFill="1" applyBorder="1" applyAlignment="1">
      <alignment horizontal="left"/>
    </xf>
    <xf numFmtId="0" fontId="13" fillId="2" borderId="12" xfId="0" applyFont="1" applyFill="1" applyBorder="1" applyAlignment="1">
      <alignment horizontal="left"/>
    </xf>
    <xf numFmtId="0" fontId="9" fillId="8" borderId="8" xfId="0" applyFont="1" applyFill="1" applyBorder="1" applyAlignment="1">
      <alignment vertical="center"/>
    </xf>
    <xf numFmtId="0" fontId="9" fillId="8" borderId="6" xfId="0" applyFont="1" applyFill="1" applyBorder="1" applyAlignment="1">
      <alignment vertical="center"/>
    </xf>
    <xf numFmtId="0" fontId="9" fillId="5" borderId="8" xfId="0" applyFont="1" applyFill="1" applyBorder="1" applyAlignment="1">
      <alignment vertical="center"/>
    </xf>
    <xf numFmtId="0" fontId="9" fillId="5" borderId="6" xfId="0" applyFont="1" applyFill="1" applyBorder="1" applyAlignment="1">
      <alignment vertical="center"/>
    </xf>
    <xf numFmtId="0" fontId="9" fillId="6" borderId="5" xfId="0" applyFont="1" applyFill="1" applyBorder="1" applyAlignment="1">
      <alignment vertical="center"/>
    </xf>
    <xf numFmtId="0" fontId="9" fillId="6" borderId="2" xfId="0" applyFont="1" applyFill="1" applyBorder="1" applyAlignment="1">
      <alignment vertical="center"/>
    </xf>
    <xf numFmtId="0" fontId="13" fillId="0" borderId="4" xfId="0" applyFont="1" applyBorder="1" applyAlignment="1">
      <alignment horizontal="left"/>
    </xf>
    <xf numFmtId="0" fontId="13" fillId="0" borderId="5" xfId="0" applyFont="1" applyBorder="1" applyAlignment="1">
      <alignment horizontal="left"/>
    </xf>
    <xf numFmtId="0" fontId="13" fillId="0" borderId="2" xfId="0" applyFont="1" applyBorder="1" applyAlignment="1">
      <alignment horizontal="left"/>
    </xf>
    <xf numFmtId="0" fontId="9" fillId="11" borderId="17" xfId="0" applyFont="1" applyFill="1" applyBorder="1" applyAlignment="1">
      <alignment horizontal="left" vertical="center"/>
    </xf>
    <xf numFmtId="0" fontId="13" fillId="0" borderId="1" xfId="0" applyFont="1" applyBorder="1" applyAlignment="1">
      <alignment horizontal="left"/>
    </xf>
    <xf numFmtId="0" fontId="13" fillId="0" borderId="1" xfId="0" quotePrefix="1" applyFont="1" applyBorder="1" applyAlignment="1">
      <alignment horizontal="left"/>
    </xf>
    <xf numFmtId="0" fontId="9" fillId="9" borderId="5" xfId="0" applyFont="1" applyFill="1" applyBorder="1" applyAlignment="1">
      <alignment vertical="center"/>
    </xf>
    <xf numFmtId="0" fontId="9" fillId="9" borderId="2" xfId="0" applyFont="1" applyFill="1" applyBorder="1" applyAlignment="1">
      <alignment vertical="center"/>
    </xf>
    <xf numFmtId="0" fontId="9" fillId="3" borderId="5" xfId="0" applyFont="1" applyFill="1" applyBorder="1" applyAlignment="1">
      <alignment vertical="center"/>
    </xf>
    <xf numFmtId="0" fontId="9" fillId="3" borderId="2" xfId="0" applyFont="1" applyFill="1" applyBorder="1" applyAlignment="1">
      <alignment vertical="center"/>
    </xf>
    <xf numFmtId="0" fontId="13" fillId="2" borderId="4" xfId="0" quotePrefix="1" applyFont="1" applyFill="1" applyBorder="1" applyAlignment="1">
      <alignment horizontal="left"/>
    </xf>
    <xf numFmtId="0" fontId="13" fillId="2" borderId="5" xfId="0" quotePrefix="1" applyFont="1" applyFill="1" applyBorder="1" applyAlignment="1">
      <alignment horizontal="left"/>
    </xf>
    <xf numFmtId="0" fontId="13" fillId="2" borderId="2" xfId="0" quotePrefix="1" applyFont="1" applyFill="1" applyBorder="1" applyAlignment="1">
      <alignment horizontal="left"/>
    </xf>
    <xf numFmtId="0" fontId="13" fillId="2" borderId="51" xfId="0" applyFont="1" applyFill="1" applyBorder="1" applyAlignment="1"/>
    <xf numFmtId="0" fontId="13" fillId="2" borderId="52" xfId="0" applyFont="1" applyFill="1" applyBorder="1" applyAlignment="1"/>
    <xf numFmtId="0" fontId="13" fillId="2" borderId="53" xfId="0" applyFont="1" applyFill="1" applyBorder="1" applyAlignment="1"/>
    <xf numFmtId="0" fontId="27" fillId="0" borderId="9" xfId="0" applyFont="1" applyBorder="1" applyAlignment="1">
      <alignment horizontal="center" vertical="center" wrapText="1"/>
    </xf>
    <xf numFmtId="0" fontId="27" fillId="0" borderId="10" xfId="0" applyFont="1" applyBorder="1" applyAlignment="1">
      <alignment horizontal="center" vertical="center" wrapText="1"/>
    </xf>
    <xf numFmtId="0" fontId="27" fillId="0" borderId="3" xfId="0" applyFont="1" applyBorder="1" applyAlignment="1">
      <alignment horizontal="center" vertical="center" wrapText="1"/>
    </xf>
    <xf numFmtId="0" fontId="27" fillId="0" borderId="4" xfId="0" applyFont="1" applyBorder="1" applyAlignment="1">
      <alignment horizontal="center" vertical="center" wrapText="1"/>
    </xf>
    <xf numFmtId="0" fontId="27" fillId="0" borderId="5" xfId="0" applyFont="1" applyBorder="1" applyAlignment="1">
      <alignment horizontal="center" vertical="center" wrapText="1"/>
    </xf>
    <xf numFmtId="0" fontId="27" fillId="0" borderId="2" xfId="0" applyFont="1" applyBorder="1" applyAlignment="1">
      <alignment horizontal="center" vertical="center" wrapText="1"/>
    </xf>
    <xf numFmtId="0" fontId="23" fillId="11" borderId="7" xfId="0" applyFont="1" applyFill="1" applyBorder="1" applyAlignment="1">
      <alignment horizontal="center" vertical="center"/>
    </xf>
    <xf numFmtId="0" fontId="23" fillId="11" borderId="8" xfId="0" applyFont="1" applyFill="1" applyBorder="1" applyAlignment="1">
      <alignment horizontal="center" vertical="center"/>
    </xf>
    <xf numFmtId="0" fontId="23" fillId="11" borderId="6" xfId="0" applyFont="1" applyFill="1" applyBorder="1" applyAlignment="1">
      <alignment horizontal="center" vertical="center"/>
    </xf>
    <xf numFmtId="0" fontId="30" fillId="2" borderId="17" xfId="0" applyFont="1" applyFill="1" applyBorder="1" applyAlignment="1">
      <alignment horizontal="center" vertical="center" wrapText="1"/>
    </xf>
    <xf numFmtId="0" fontId="30" fillId="2" borderId="1" xfId="0" applyFont="1" applyFill="1" applyBorder="1" applyAlignment="1">
      <alignment horizontal="center" vertical="center" wrapText="1"/>
    </xf>
    <xf numFmtId="0" fontId="35" fillId="2" borderId="1" xfId="0" applyFont="1" applyFill="1" applyBorder="1" applyAlignment="1">
      <alignment vertical="center"/>
    </xf>
    <xf numFmtId="0" fontId="23" fillId="11" borderId="45" xfId="0" applyFont="1" applyFill="1" applyBorder="1" applyAlignment="1">
      <alignment horizontal="center" vertical="center"/>
    </xf>
    <xf numFmtId="0" fontId="23" fillId="11" borderId="43" xfId="0" applyFont="1" applyFill="1" applyBorder="1" applyAlignment="1">
      <alignment horizontal="center" vertical="center"/>
    </xf>
    <xf numFmtId="0" fontId="23" fillId="11" borderId="44" xfId="0" applyFont="1" applyFill="1" applyBorder="1" applyAlignment="1">
      <alignment horizontal="center" vertical="center"/>
    </xf>
  </cellXfs>
  <cellStyles count="2">
    <cellStyle name="Normal" xfId="0" builtinId="0"/>
    <cellStyle name="Normal 2" xfId="1" xr:uid="{0FDD12F9-7D82-4479-986C-BF932EF1EE17}"/>
  </cellStyles>
  <dxfs count="132">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s>
  <tableStyles count="0" defaultTableStyle="TableStyleMedium9" defaultPivotStyle="PivotStyleLight16"/>
  <colors>
    <mruColors>
      <color rgb="FF343434"/>
      <color rgb="FFD1E0A8"/>
      <color rgb="FF5F7228"/>
      <color rgb="FF46541F"/>
      <color rgb="FFC3C6BD"/>
      <color rgb="FFFF3F3F"/>
      <color rgb="FFFF5353"/>
      <color rgb="FFFF9F9F"/>
      <color rgb="FF000000"/>
      <color rgb="FF8D91B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22/11/relationships/FeaturePropertyBag" Target="featurePropertyBag/featurePropertyBag.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defRPr sz="1400" b="1" i="0" u="none" strike="noStrike" kern="1200" cap="all" baseline="0">
                <a:solidFill>
                  <a:srgbClr val="343434"/>
                </a:solidFill>
                <a:latin typeface="Bahnschrift Bold" panose="020B0502040204020203" pitchFamily="34" charset="0"/>
                <a:ea typeface="+mn-ea"/>
                <a:cs typeface="+mn-cs"/>
              </a:defRPr>
            </a:pPr>
            <a:r>
              <a:rPr lang="en-US" sz="1400" b="0" i="0" u="none" strike="noStrike" kern="1200" cap="none" spc="0" normalizeH="0" baseline="0">
                <a:solidFill>
                  <a:srgbClr val="343434"/>
                </a:solidFill>
                <a:latin typeface="Bahnschrift Bold" panose="020B0502040204020203" pitchFamily="34" charset="0"/>
              </a:rPr>
              <a:t>Total Anticipated Points Distribution</a:t>
            </a:r>
          </a:p>
        </c:rich>
      </c:tx>
      <c:overlay val="0"/>
      <c:spPr>
        <a:noFill/>
        <a:ln>
          <a:noFill/>
        </a:ln>
        <a:effectLst/>
      </c:spPr>
      <c:txPr>
        <a:bodyPr rot="0" spcFirstLastPara="1" vertOverflow="ellipsis" vert="horz" wrap="square" anchor="ctr" anchorCtr="1"/>
        <a:lstStyle/>
        <a:p>
          <a:pPr>
            <a:defRPr sz="1400" b="1" i="0" u="none" strike="noStrike" kern="1200" cap="all" baseline="0">
              <a:solidFill>
                <a:srgbClr val="343434"/>
              </a:solidFill>
              <a:latin typeface="Bahnschrift Bold" panose="020B0502040204020203" pitchFamily="34" charset="0"/>
              <a:ea typeface="+mn-ea"/>
              <a:cs typeface="+mn-cs"/>
            </a:defRPr>
          </a:pPr>
          <a:endParaRPr lang="en-US"/>
        </a:p>
      </c:txPr>
    </c:title>
    <c:autoTitleDeleted val="0"/>
    <c:plotArea>
      <c:layout/>
      <c:pieChart>
        <c:varyColors val="1"/>
        <c:ser>
          <c:idx val="0"/>
          <c:order val="0"/>
          <c:dPt>
            <c:idx val="0"/>
            <c:bubble3D val="0"/>
            <c:spPr>
              <a:solidFill>
                <a:srgbClr val="46541F"/>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1655-4833-88D6-7557870AA7AB}"/>
              </c:ext>
            </c:extLst>
          </c:dPt>
          <c:dPt>
            <c:idx val="1"/>
            <c:bubble3D val="0"/>
            <c:spPr>
              <a:solidFill>
                <a:srgbClr val="5F7228"/>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1655-4833-88D6-7557870AA7AB}"/>
              </c:ext>
            </c:extLst>
          </c:dPt>
          <c:dPt>
            <c:idx val="2"/>
            <c:bubble3D val="0"/>
            <c:spPr>
              <a:solidFill>
                <a:srgbClr val="D1E0A8"/>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1655-4833-88D6-7557870AA7AB}"/>
              </c:ext>
            </c:extLst>
          </c:dPt>
          <c:dPt>
            <c:idx val="3"/>
            <c:bubble3D val="0"/>
            <c:spPr>
              <a:solidFill>
                <a:schemeClr val="accent3">
                  <a:tint val="58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9-1655-4833-88D6-7557870AA7AB}"/>
              </c:ext>
            </c:extLst>
          </c:dPt>
          <c:dLbls>
            <c:dLbl>
              <c:idx val="0"/>
              <c:spPr>
                <a:noFill/>
                <a:ln>
                  <a:noFill/>
                </a:ln>
                <a:effectLst/>
              </c:spPr>
              <c:txPr>
                <a:bodyPr rot="0" spcFirstLastPara="1" vertOverflow="ellipsis" vert="horz" wrap="square" anchor="ctr" anchorCtr="1"/>
                <a:lstStyle/>
                <a:p>
                  <a:pPr>
                    <a:defRPr sz="1200" b="1" i="0" u="none" strike="noStrike" kern="1200" spc="0" baseline="0">
                      <a:solidFill>
                        <a:srgbClr val="343434"/>
                      </a:solidFill>
                      <a:latin typeface="Bahnschrift Light SemiCondensed" panose="020B0502040204020203" pitchFamily="34" charset="0"/>
                      <a:ea typeface="+mn-ea"/>
                      <a:cs typeface="+mn-cs"/>
                    </a:defRPr>
                  </a:pPr>
                  <a:endParaRPr lang="en-US"/>
                </a:p>
              </c:txPr>
              <c:dLblPos val="outEnd"/>
              <c:showLegendKey val="0"/>
              <c:showVal val="0"/>
              <c:showCatName val="0"/>
              <c:showSerName val="0"/>
              <c:showPercent val="1"/>
              <c:showBubbleSize val="0"/>
              <c:extLst>
                <c:ext xmlns:c16="http://schemas.microsoft.com/office/drawing/2014/chart" uri="{C3380CC4-5D6E-409C-BE32-E72D297353CC}">
                  <c16:uniqueId val="{00000001-1655-4833-88D6-7557870AA7AB}"/>
                </c:ext>
              </c:extLst>
            </c:dLbl>
            <c:dLbl>
              <c:idx val="1"/>
              <c:spPr>
                <a:noFill/>
                <a:ln>
                  <a:noFill/>
                </a:ln>
                <a:effectLst/>
              </c:spPr>
              <c:txPr>
                <a:bodyPr rot="0" spcFirstLastPara="1" vertOverflow="ellipsis" vert="horz" wrap="square" anchor="ctr" anchorCtr="1"/>
                <a:lstStyle/>
                <a:p>
                  <a:pPr>
                    <a:defRPr sz="1200" b="1" i="0" u="none" strike="noStrike" kern="1200" spc="0" baseline="0">
                      <a:solidFill>
                        <a:srgbClr val="343434"/>
                      </a:solidFill>
                      <a:latin typeface="Bahnschrift Light SemiCondensed" panose="020B0502040204020203" pitchFamily="34" charset="0"/>
                      <a:ea typeface="+mn-ea"/>
                      <a:cs typeface="+mn-cs"/>
                    </a:defRPr>
                  </a:pPr>
                  <a:endParaRPr lang="en-US"/>
                </a:p>
              </c:txPr>
              <c:dLblPos val="outEnd"/>
              <c:showLegendKey val="0"/>
              <c:showVal val="0"/>
              <c:showCatName val="0"/>
              <c:showSerName val="0"/>
              <c:showPercent val="1"/>
              <c:showBubbleSize val="0"/>
              <c:extLst>
                <c:ext xmlns:c16="http://schemas.microsoft.com/office/drawing/2014/chart" uri="{C3380CC4-5D6E-409C-BE32-E72D297353CC}">
                  <c16:uniqueId val="{00000003-1655-4833-88D6-7557870AA7AB}"/>
                </c:ext>
              </c:extLst>
            </c:dLbl>
            <c:dLbl>
              <c:idx val="2"/>
              <c:spPr>
                <a:noFill/>
                <a:ln>
                  <a:noFill/>
                </a:ln>
                <a:effectLst/>
              </c:spPr>
              <c:txPr>
                <a:bodyPr rot="0" spcFirstLastPara="1" vertOverflow="ellipsis" vert="horz" wrap="square" anchor="ctr" anchorCtr="1"/>
                <a:lstStyle/>
                <a:p>
                  <a:pPr>
                    <a:defRPr sz="1200" b="1" i="0" u="none" strike="noStrike" kern="1200" spc="0" baseline="0">
                      <a:solidFill>
                        <a:srgbClr val="343434"/>
                      </a:solidFill>
                      <a:latin typeface="Bahnschrift Light SemiCondensed" panose="020B0502040204020203" pitchFamily="34" charset="0"/>
                      <a:ea typeface="+mn-ea"/>
                      <a:cs typeface="+mn-cs"/>
                    </a:defRPr>
                  </a:pPr>
                  <a:endParaRPr lang="en-US"/>
                </a:p>
              </c:txPr>
              <c:dLblPos val="outEnd"/>
              <c:showLegendKey val="0"/>
              <c:showVal val="0"/>
              <c:showCatName val="0"/>
              <c:showSerName val="0"/>
              <c:showPercent val="1"/>
              <c:showBubbleSize val="0"/>
              <c:extLst>
                <c:ext xmlns:c16="http://schemas.microsoft.com/office/drawing/2014/chart" uri="{C3380CC4-5D6E-409C-BE32-E72D297353CC}">
                  <c16:uniqueId val="{00000005-1655-4833-88D6-7557870AA7AB}"/>
                </c:ext>
              </c:extLst>
            </c:dLbl>
            <c:dLbl>
              <c:idx val="3"/>
              <c:spPr>
                <a:noFill/>
                <a:ln>
                  <a:noFill/>
                </a:ln>
                <a:effectLst/>
              </c:spPr>
              <c:txPr>
                <a:bodyPr rot="0" spcFirstLastPara="1" vertOverflow="ellipsis" vert="horz" wrap="square" anchor="ctr" anchorCtr="1"/>
                <a:lstStyle/>
                <a:p>
                  <a:pPr>
                    <a:defRPr sz="1200" b="1" i="0" u="none" strike="noStrike" kern="1200" spc="0" baseline="0">
                      <a:solidFill>
                        <a:srgbClr val="343434"/>
                      </a:solidFill>
                      <a:latin typeface="Bahnschrift Light SemiCondensed" panose="020B0502040204020203" pitchFamily="34" charset="0"/>
                      <a:ea typeface="+mn-ea"/>
                      <a:cs typeface="+mn-cs"/>
                    </a:defRPr>
                  </a:pPr>
                  <a:endParaRPr lang="en-US"/>
                </a:p>
              </c:txPr>
              <c:dLblPos val="outEnd"/>
              <c:showLegendKey val="0"/>
              <c:showVal val="0"/>
              <c:showCatName val="0"/>
              <c:showSerName val="0"/>
              <c:showPercent val="1"/>
              <c:showBubbleSize val="0"/>
              <c:extLst>
                <c:ext xmlns:c16="http://schemas.microsoft.com/office/drawing/2014/chart" uri="{C3380CC4-5D6E-409C-BE32-E72D297353CC}">
                  <c16:uniqueId val="{00000009-1655-4833-88D6-7557870AA7AB}"/>
                </c:ext>
              </c:extLst>
            </c:dLbl>
            <c:spPr>
              <a:noFill/>
              <a:ln>
                <a:noFill/>
              </a:ln>
              <a:effectLst/>
            </c:spPr>
            <c:txPr>
              <a:bodyPr rot="0" spcFirstLastPara="1" vertOverflow="ellipsis" vert="horz" wrap="square" anchor="ctr" anchorCtr="1"/>
              <a:lstStyle/>
              <a:p>
                <a:pPr>
                  <a:defRPr sz="1200" b="1" i="0" u="none" strike="noStrike" kern="1200" spc="0" baseline="0">
                    <a:solidFill>
                      <a:srgbClr val="343434"/>
                    </a:solidFill>
                    <a:latin typeface="Bahnschrift Light SemiCondensed" panose="020B0502040204020203" pitchFamily="34" charset="0"/>
                    <a:ea typeface="+mn-ea"/>
                    <a:cs typeface="+mn-cs"/>
                  </a:defRPr>
                </a:pPr>
                <a:endParaRPr lang="en-US"/>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Background!$J$2:$J$5</c:f>
              <c:strCache>
                <c:ptCount val="4"/>
                <c:pt idx="0">
                  <c:v>Yes</c:v>
                </c:pt>
                <c:pt idx="1">
                  <c:v>Maybe</c:v>
                </c:pt>
                <c:pt idx="2">
                  <c:v>No</c:v>
                </c:pt>
                <c:pt idx="3">
                  <c:v>Blank</c:v>
                </c:pt>
              </c:strCache>
            </c:strRef>
          </c:cat>
          <c:val>
            <c:numRef>
              <c:f>Background!$K$2:$K$5</c:f>
              <c:numCache>
                <c:formatCode>General</c:formatCode>
                <c:ptCount val="4"/>
                <c:pt idx="0">
                  <c:v>0</c:v>
                </c:pt>
                <c:pt idx="1">
                  <c:v>0</c:v>
                </c:pt>
                <c:pt idx="2">
                  <c:v>0</c:v>
                </c:pt>
                <c:pt idx="3">
                  <c:v>110</c:v>
                </c:pt>
              </c:numCache>
            </c:numRef>
          </c:val>
          <c:extLst>
            <c:ext xmlns:c16="http://schemas.microsoft.com/office/drawing/2014/chart" uri="{C3380CC4-5D6E-409C-BE32-E72D297353CC}">
              <c16:uniqueId val="{00000006-1655-4833-88D6-7557870AA7AB}"/>
            </c:ext>
          </c:extLst>
        </c:ser>
        <c:dLbls>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050" b="0" i="0" u="none" strike="noStrike" kern="1200" baseline="0">
              <a:solidFill>
                <a:srgbClr val="343434"/>
              </a:solidFill>
              <a:latin typeface="Bahnschrift Light SemiCondensed" panose="020B0502040204020203" pitchFamily="34"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solidFill>
            <a:srgbClr val="343434"/>
          </a:solidFill>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defRPr sz="1400" b="0" i="0" u="none" strike="noStrike" kern="1200" cap="none" spc="0" normalizeH="0" baseline="0">
                <a:solidFill>
                  <a:srgbClr val="343434"/>
                </a:solidFill>
                <a:latin typeface="Bahnschrift Bold" panose="020B0502040204020203" pitchFamily="34" charset="0"/>
                <a:ea typeface="+mj-ea"/>
                <a:cs typeface="+mj-cs"/>
              </a:defRPr>
            </a:pPr>
            <a:r>
              <a:rPr lang="en-US" sz="1400">
                <a:latin typeface="Bahnschrift Bold" panose="020B0502040204020203" pitchFamily="34" charset="0"/>
              </a:rPr>
              <a:t>Total Anticipated Points Distribution</a:t>
            </a:r>
          </a:p>
        </c:rich>
      </c:tx>
      <c:overlay val="0"/>
      <c:spPr>
        <a:noFill/>
        <a:ln>
          <a:noFill/>
        </a:ln>
        <a:effectLst/>
      </c:spPr>
      <c:txPr>
        <a:bodyPr rot="0" spcFirstLastPara="1" vertOverflow="ellipsis" vert="horz" wrap="square" anchor="ctr" anchorCtr="1"/>
        <a:lstStyle/>
        <a:p>
          <a:pPr>
            <a:defRPr sz="1400" b="0" i="0" u="none" strike="noStrike" kern="1200" cap="none" spc="0" normalizeH="0" baseline="0">
              <a:solidFill>
                <a:srgbClr val="343434"/>
              </a:solidFill>
              <a:latin typeface="Bahnschrift Bold" panose="020B0502040204020203" pitchFamily="34" charset="0"/>
              <a:ea typeface="+mj-ea"/>
              <a:cs typeface="+mj-cs"/>
            </a:defRPr>
          </a:pPr>
          <a:endParaRPr lang="en-US"/>
        </a:p>
      </c:txPr>
    </c:title>
    <c:autoTitleDeleted val="0"/>
    <c:plotArea>
      <c:layout/>
      <c:barChart>
        <c:barDir val="bar"/>
        <c:grouping val="clustered"/>
        <c:varyColors val="0"/>
        <c:ser>
          <c:idx val="0"/>
          <c:order val="0"/>
          <c:spPr>
            <a:solidFill>
              <a:schemeClr val="accent3"/>
            </a:solidFill>
            <a:ln>
              <a:noFill/>
            </a:ln>
            <a:effectLst/>
          </c:spPr>
          <c:invertIfNegative val="0"/>
          <c:dPt>
            <c:idx val="0"/>
            <c:invertIfNegative val="0"/>
            <c:bubble3D val="0"/>
            <c:spPr>
              <a:solidFill>
                <a:srgbClr val="46541F"/>
              </a:solidFill>
              <a:ln>
                <a:noFill/>
              </a:ln>
              <a:effectLst/>
            </c:spPr>
            <c:extLst>
              <c:ext xmlns:c16="http://schemas.microsoft.com/office/drawing/2014/chart" uri="{C3380CC4-5D6E-409C-BE32-E72D297353CC}">
                <c16:uniqueId val="{00000001-12B0-446D-AA6B-92279251BEE9}"/>
              </c:ext>
            </c:extLst>
          </c:dPt>
          <c:dPt>
            <c:idx val="1"/>
            <c:invertIfNegative val="0"/>
            <c:bubble3D val="0"/>
            <c:spPr>
              <a:solidFill>
                <a:srgbClr val="5F7228"/>
              </a:solidFill>
              <a:ln>
                <a:noFill/>
              </a:ln>
              <a:effectLst/>
            </c:spPr>
            <c:extLst>
              <c:ext xmlns:c16="http://schemas.microsoft.com/office/drawing/2014/chart" uri="{C3380CC4-5D6E-409C-BE32-E72D297353CC}">
                <c16:uniqueId val="{00000003-12B0-446D-AA6B-92279251BEE9}"/>
              </c:ext>
            </c:extLst>
          </c:dPt>
          <c:dPt>
            <c:idx val="2"/>
            <c:invertIfNegative val="0"/>
            <c:bubble3D val="0"/>
            <c:spPr>
              <a:solidFill>
                <a:srgbClr val="D1E0A8"/>
              </a:solidFill>
              <a:ln>
                <a:noFill/>
              </a:ln>
              <a:effectLst/>
            </c:spPr>
            <c:extLst>
              <c:ext xmlns:c16="http://schemas.microsoft.com/office/drawing/2014/chart" uri="{C3380CC4-5D6E-409C-BE32-E72D297353CC}">
                <c16:uniqueId val="{00000005-12B0-446D-AA6B-92279251BEE9}"/>
              </c:ext>
            </c:extLst>
          </c:dPt>
          <c:dPt>
            <c:idx val="3"/>
            <c:invertIfNegative val="0"/>
            <c:bubble3D val="0"/>
            <c:spPr>
              <a:solidFill>
                <a:srgbClr val="C3C6BD"/>
              </a:solidFill>
              <a:ln>
                <a:noFill/>
              </a:ln>
              <a:effectLst/>
            </c:spPr>
            <c:extLst>
              <c:ext xmlns:c16="http://schemas.microsoft.com/office/drawing/2014/chart" uri="{C3380CC4-5D6E-409C-BE32-E72D297353CC}">
                <c16:uniqueId val="{00000007-12B0-446D-AA6B-92279251BEE9}"/>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343434"/>
                    </a:solidFill>
                    <a:latin typeface="Bahnschrift Light SemiCondensed" panose="020B0502040204020203"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Background!$J$2:$J$5</c:f>
              <c:strCache>
                <c:ptCount val="4"/>
                <c:pt idx="0">
                  <c:v>Yes</c:v>
                </c:pt>
                <c:pt idx="1">
                  <c:v>Maybe</c:v>
                </c:pt>
                <c:pt idx="2">
                  <c:v>No</c:v>
                </c:pt>
                <c:pt idx="3">
                  <c:v>Blank</c:v>
                </c:pt>
              </c:strCache>
            </c:strRef>
          </c:cat>
          <c:val>
            <c:numRef>
              <c:f>Background!$K$2:$K$5</c:f>
              <c:numCache>
                <c:formatCode>General</c:formatCode>
                <c:ptCount val="4"/>
                <c:pt idx="0">
                  <c:v>0</c:v>
                </c:pt>
                <c:pt idx="1">
                  <c:v>0</c:v>
                </c:pt>
                <c:pt idx="2">
                  <c:v>0</c:v>
                </c:pt>
                <c:pt idx="3">
                  <c:v>110</c:v>
                </c:pt>
              </c:numCache>
            </c:numRef>
          </c:val>
          <c:extLst>
            <c:ext xmlns:c16="http://schemas.microsoft.com/office/drawing/2014/chart" uri="{C3380CC4-5D6E-409C-BE32-E72D297353CC}">
              <c16:uniqueId val="{00000006-12B0-446D-AA6B-92279251BEE9}"/>
            </c:ext>
          </c:extLst>
        </c:ser>
        <c:dLbls>
          <c:showLegendKey val="0"/>
          <c:showVal val="0"/>
          <c:showCatName val="0"/>
          <c:showSerName val="0"/>
          <c:showPercent val="0"/>
          <c:showBubbleSize val="0"/>
        </c:dLbls>
        <c:gapWidth val="269"/>
        <c:overlap val="-58"/>
        <c:axId val="958692672"/>
        <c:axId val="958692192"/>
      </c:barChart>
      <c:valAx>
        <c:axId val="958692192"/>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43434"/>
                </a:solidFill>
                <a:latin typeface="Bahnschrift Light SemiCondensed" panose="020B0502040204020203" pitchFamily="34" charset="0"/>
                <a:ea typeface="+mn-ea"/>
                <a:cs typeface="+mn-cs"/>
              </a:defRPr>
            </a:pPr>
            <a:endParaRPr lang="en-US"/>
          </a:p>
        </c:txPr>
        <c:crossAx val="958692672"/>
        <c:crosses val="autoZero"/>
        <c:crossBetween val="between"/>
      </c:valAx>
      <c:catAx>
        <c:axId val="95869267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cap="none" spc="0" normalizeH="0" baseline="0">
                <a:solidFill>
                  <a:srgbClr val="343434"/>
                </a:solidFill>
                <a:latin typeface="Bahnschrift Light SemiCondensed" panose="020B0502040204020203" pitchFamily="34" charset="0"/>
                <a:ea typeface="+mn-ea"/>
                <a:cs typeface="+mn-cs"/>
              </a:defRPr>
            </a:pPr>
            <a:endParaRPr lang="en-US"/>
          </a:p>
        </c:txPr>
        <c:crossAx val="958692192"/>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solidFill>
            <a:srgbClr val="343434"/>
          </a:solidFill>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title>
      <c:tx>
        <c:rich>
          <a:bodyPr rot="0" spcFirstLastPara="1" vertOverflow="ellipsis" vert="horz" wrap="square" anchor="ctr" anchorCtr="1"/>
          <a:lstStyle/>
          <a:p>
            <a:pPr>
              <a:defRPr sz="2000" b="0" i="0" u="none" strike="noStrike" kern="1200" cap="none" spc="0" normalizeH="0" baseline="0">
                <a:solidFill>
                  <a:srgbClr val="343434"/>
                </a:solidFill>
                <a:latin typeface="+mj-lt"/>
                <a:ea typeface="+mj-ea"/>
                <a:cs typeface="+mj-cs"/>
              </a:defRPr>
            </a:pPr>
            <a:r>
              <a:rPr lang="en-US" sz="1400">
                <a:latin typeface="Bahnschrift Bold" panose="020B0502040204020203" pitchFamily="34" charset="0"/>
              </a:rPr>
              <a:t>Total Anticipated Points versus LEED Certification Levels</a:t>
            </a: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rgbClr val="343434"/>
              </a:solidFill>
              <a:latin typeface="+mj-lt"/>
              <a:ea typeface="+mj-ea"/>
              <a:cs typeface="+mj-cs"/>
            </a:defRPr>
          </a:pPr>
          <a:endParaRPr lang="en-US"/>
        </a:p>
      </c:txPr>
    </c:title>
    <c:autoTitleDeleted val="0"/>
    <c:plotArea>
      <c:layout/>
      <c:barChart>
        <c:barDir val="bar"/>
        <c:grouping val="clustered"/>
        <c:varyColors val="0"/>
        <c:ser>
          <c:idx val="0"/>
          <c:order val="0"/>
          <c:spPr>
            <a:solidFill>
              <a:schemeClr val="dk1">
                <a:tint val="88500"/>
              </a:schemeClr>
            </a:solidFill>
            <a:ln>
              <a:noFill/>
            </a:ln>
            <a:effectLst/>
          </c:spPr>
          <c:invertIfNegative val="0"/>
          <c:dPt>
            <c:idx val="0"/>
            <c:invertIfNegative val="0"/>
            <c:bubble3D val="0"/>
            <c:spPr>
              <a:solidFill>
                <a:schemeClr val="accent3"/>
              </a:solidFill>
              <a:ln>
                <a:noFill/>
              </a:ln>
              <a:effectLst/>
            </c:spPr>
            <c:extLst>
              <c:ext xmlns:c16="http://schemas.microsoft.com/office/drawing/2014/chart" uri="{C3380CC4-5D6E-409C-BE32-E72D297353CC}">
                <c16:uniqueId val="{00000003-289D-4FE5-8E2E-19C06C5C8B59}"/>
              </c:ext>
            </c:extLst>
          </c:dPt>
          <c:cat>
            <c:strRef>
              <c:f>Background!$I$16:$I$19</c:f>
              <c:strCache>
                <c:ptCount val="4"/>
                <c:pt idx="0">
                  <c:v>Total Anticipated Points</c:v>
                </c:pt>
                <c:pt idx="1">
                  <c:v>Certified Project</c:v>
                </c:pt>
                <c:pt idx="2">
                  <c:v>Platinum Project</c:v>
                </c:pt>
                <c:pt idx="3">
                  <c:v>Total Possible Points</c:v>
                </c:pt>
              </c:strCache>
            </c:strRef>
          </c:cat>
          <c:val>
            <c:numRef>
              <c:f>Background!$J$16:$J$19</c:f>
              <c:numCache>
                <c:formatCode>General</c:formatCode>
                <c:ptCount val="4"/>
                <c:pt idx="0">
                  <c:v>0</c:v>
                </c:pt>
                <c:pt idx="1">
                  <c:v>40</c:v>
                </c:pt>
                <c:pt idx="2">
                  <c:v>80</c:v>
                </c:pt>
                <c:pt idx="3">
                  <c:v>110</c:v>
                </c:pt>
              </c:numCache>
            </c:numRef>
          </c:val>
          <c:extLst>
            <c:ext xmlns:c16="http://schemas.microsoft.com/office/drawing/2014/chart" uri="{C3380CC4-5D6E-409C-BE32-E72D297353CC}">
              <c16:uniqueId val="{00000000-289D-4FE5-8E2E-19C06C5C8B59}"/>
            </c:ext>
          </c:extLst>
        </c:ser>
        <c:ser>
          <c:idx val="1"/>
          <c:order val="1"/>
          <c:spPr>
            <a:solidFill>
              <a:schemeClr val="dk1">
                <a:tint val="55000"/>
              </a:schemeClr>
            </a:solidFill>
            <a:ln>
              <a:noFill/>
            </a:ln>
            <a:effectLst/>
          </c:spPr>
          <c:invertIfNegative val="0"/>
          <c:cat>
            <c:strRef>
              <c:f>Background!$I$16:$I$19</c:f>
              <c:strCache>
                <c:ptCount val="4"/>
                <c:pt idx="0">
                  <c:v>Total Anticipated Points</c:v>
                </c:pt>
                <c:pt idx="1">
                  <c:v>Certified Project</c:v>
                </c:pt>
                <c:pt idx="2">
                  <c:v>Platinum Project</c:v>
                </c:pt>
                <c:pt idx="3">
                  <c:v>Total Possible Points</c:v>
                </c:pt>
              </c:strCache>
            </c:strRef>
          </c:cat>
          <c:val>
            <c:numRef>
              <c:f>Background!$K$16:$K$18</c:f>
              <c:numCache>
                <c:formatCode>General</c:formatCode>
                <c:ptCount val="3"/>
                <c:pt idx="0">
                  <c:v>0</c:v>
                </c:pt>
                <c:pt idx="1">
                  <c:v>0</c:v>
                </c:pt>
                <c:pt idx="2">
                  <c:v>0</c:v>
                </c:pt>
              </c:numCache>
            </c:numRef>
          </c:val>
          <c:extLst>
            <c:ext xmlns:c16="http://schemas.microsoft.com/office/drawing/2014/chart" uri="{C3380CC4-5D6E-409C-BE32-E72D297353CC}">
              <c16:uniqueId val="{00000001-289D-4FE5-8E2E-19C06C5C8B59}"/>
            </c:ext>
          </c:extLst>
        </c:ser>
        <c:dLbls>
          <c:showLegendKey val="0"/>
          <c:showVal val="0"/>
          <c:showCatName val="0"/>
          <c:showSerName val="0"/>
          <c:showPercent val="0"/>
          <c:showBubbleSize val="0"/>
        </c:dLbls>
        <c:gapWidth val="269"/>
        <c:overlap val="-58"/>
        <c:axId val="359243488"/>
        <c:axId val="359240128"/>
      </c:barChart>
      <c:catAx>
        <c:axId val="35924348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cap="none" spc="0" normalizeH="0" baseline="0">
                <a:solidFill>
                  <a:srgbClr val="343434"/>
                </a:solidFill>
                <a:latin typeface="Bahnschrift Light SemiCondensed" panose="020B0502040204020203" pitchFamily="34" charset="0"/>
                <a:ea typeface="+mn-ea"/>
                <a:cs typeface="+mn-cs"/>
              </a:defRPr>
            </a:pPr>
            <a:endParaRPr lang="en-US"/>
          </a:p>
        </c:txPr>
        <c:crossAx val="359240128"/>
        <c:crosses val="autoZero"/>
        <c:auto val="1"/>
        <c:lblAlgn val="ctr"/>
        <c:lblOffset val="100"/>
        <c:noMultiLvlLbl val="0"/>
      </c:catAx>
      <c:valAx>
        <c:axId val="359240128"/>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43434"/>
                </a:solidFill>
                <a:latin typeface="Bahnschrift Light SemiCondensed" panose="020B0502040204020203" pitchFamily="34" charset="0"/>
                <a:ea typeface="+mn-ea"/>
                <a:cs typeface="+mn-cs"/>
              </a:defRPr>
            </a:pPr>
            <a:endParaRPr lang="en-US"/>
          </a:p>
        </c:txPr>
        <c:crossAx val="35924348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solidFill>
            <a:srgbClr val="343434"/>
          </a:solidFill>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200" b="1" i="0" u="none" strike="noStrike" kern="1200" cap="all" baseline="0">
                <a:solidFill>
                  <a:srgbClr val="343434"/>
                </a:solidFill>
                <a:latin typeface="+mn-lt"/>
                <a:ea typeface="+mn-ea"/>
                <a:cs typeface="+mn-cs"/>
              </a:defRPr>
            </a:pPr>
            <a:r>
              <a:rPr lang="en-US" sz="1200" b="0" i="0" u="none" strike="noStrike" kern="1200" cap="none" spc="0" normalizeH="0" baseline="0">
                <a:solidFill>
                  <a:srgbClr val="343434"/>
                </a:solidFill>
                <a:latin typeface="Bahnschrift Bold" panose="020B0502040204020203" pitchFamily="34" charset="0"/>
              </a:rPr>
              <a:t>Anticipated Decarbonization Prerequisites &amp; Credits</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200" b="1" i="0" u="none" strike="noStrike" kern="1200" cap="all" baseline="0">
              <a:solidFill>
                <a:srgbClr val="343434"/>
              </a:solidFill>
              <a:latin typeface="+mn-lt"/>
              <a:ea typeface="+mn-ea"/>
              <a:cs typeface="+mn-cs"/>
            </a:defRPr>
          </a:pPr>
          <a:endParaRPr lang="en-US"/>
        </a:p>
      </c:txPr>
    </c:title>
    <c:autoTitleDeleted val="0"/>
    <c:plotArea>
      <c:layout/>
      <c:pieChart>
        <c:varyColors val="1"/>
        <c:ser>
          <c:idx val="0"/>
          <c:order val="0"/>
          <c:dPt>
            <c:idx val="0"/>
            <c:bubble3D val="0"/>
            <c:spPr>
              <a:solidFill>
                <a:schemeClr val="accent4">
                  <a:shade val="58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34F1-4F0D-99E4-4EA4E647C4B8}"/>
              </c:ext>
            </c:extLst>
          </c:dPt>
          <c:dPt>
            <c:idx val="1"/>
            <c:bubble3D val="0"/>
            <c:spPr>
              <a:solidFill>
                <a:schemeClr val="accent4">
                  <a:shade val="86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34F1-4F0D-99E4-4EA4E647C4B8}"/>
              </c:ext>
            </c:extLst>
          </c:dPt>
          <c:dPt>
            <c:idx val="2"/>
            <c:bubble3D val="0"/>
            <c:spPr>
              <a:solidFill>
                <a:schemeClr val="accent4">
                  <a:tint val="86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34F1-4F0D-99E4-4EA4E647C4B8}"/>
              </c:ext>
            </c:extLst>
          </c:dPt>
          <c:dPt>
            <c:idx val="3"/>
            <c:bubble3D val="0"/>
            <c:spPr>
              <a:solidFill>
                <a:schemeClr val="accent4">
                  <a:tint val="58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7-34F1-4F0D-99E4-4EA4E647C4B8}"/>
              </c:ext>
            </c:extLst>
          </c:dPt>
          <c:dLbls>
            <c:dLbl>
              <c:idx val="0"/>
              <c:spPr>
                <a:noFill/>
                <a:ln>
                  <a:noFill/>
                </a:ln>
                <a:effectLst/>
              </c:spPr>
              <c:txPr>
                <a:bodyPr rot="0" spcFirstLastPara="1" vertOverflow="ellipsis" vert="horz" wrap="square" anchor="ctr" anchorCtr="1"/>
                <a:lstStyle/>
                <a:p>
                  <a:pPr>
                    <a:defRPr sz="1200" b="1" i="0" u="none" strike="noStrike" kern="1200" spc="0" baseline="0">
                      <a:solidFill>
                        <a:schemeClr val="bg1"/>
                      </a:solidFill>
                      <a:latin typeface="Bahnschrift Light SemiCondensed" panose="020B0502040204020203" pitchFamily="34" charset="0"/>
                      <a:ea typeface="+mn-ea"/>
                      <a:cs typeface="+mn-cs"/>
                    </a:defRPr>
                  </a:pPr>
                  <a:endParaRPr lang="en-US"/>
                </a:p>
              </c:txPr>
              <c:dLblPos val="inEnd"/>
              <c:showLegendKey val="0"/>
              <c:showVal val="1"/>
              <c:showCatName val="0"/>
              <c:showSerName val="0"/>
              <c:showPercent val="0"/>
              <c:showBubbleSize val="0"/>
              <c:extLst>
                <c:ext xmlns:c16="http://schemas.microsoft.com/office/drawing/2014/chart" uri="{C3380CC4-5D6E-409C-BE32-E72D297353CC}">
                  <c16:uniqueId val="{00000001-34F1-4F0D-99E4-4EA4E647C4B8}"/>
                </c:ext>
              </c:extLst>
            </c:dLbl>
            <c:dLbl>
              <c:idx val="1"/>
              <c:spPr>
                <a:noFill/>
                <a:ln>
                  <a:noFill/>
                </a:ln>
                <a:effectLst/>
              </c:spPr>
              <c:txPr>
                <a:bodyPr rot="0" spcFirstLastPara="1" vertOverflow="ellipsis" vert="horz" wrap="square" anchor="ctr" anchorCtr="1"/>
                <a:lstStyle/>
                <a:p>
                  <a:pPr>
                    <a:defRPr sz="1200" b="1" i="0" u="none" strike="noStrike" kern="1200" spc="0" baseline="0">
                      <a:solidFill>
                        <a:schemeClr val="bg1"/>
                      </a:solidFill>
                      <a:latin typeface="Bahnschrift Light SemiCondensed" panose="020B0502040204020203" pitchFamily="34" charset="0"/>
                      <a:ea typeface="+mn-ea"/>
                      <a:cs typeface="+mn-cs"/>
                    </a:defRPr>
                  </a:pPr>
                  <a:endParaRPr lang="en-US"/>
                </a:p>
              </c:txPr>
              <c:dLblPos val="inEnd"/>
              <c:showLegendKey val="0"/>
              <c:showVal val="1"/>
              <c:showCatName val="0"/>
              <c:showSerName val="0"/>
              <c:showPercent val="0"/>
              <c:showBubbleSize val="0"/>
              <c:extLst>
                <c:ext xmlns:c16="http://schemas.microsoft.com/office/drawing/2014/chart" uri="{C3380CC4-5D6E-409C-BE32-E72D297353CC}">
                  <c16:uniqueId val="{00000003-34F1-4F0D-99E4-4EA4E647C4B8}"/>
                </c:ext>
              </c:extLst>
            </c:dLbl>
            <c:dLbl>
              <c:idx val="2"/>
              <c:spPr>
                <a:noFill/>
                <a:ln>
                  <a:noFill/>
                </a:ln>
                <a:effectLst/>
              </c:spPr>
              <c:txPr>
                <a:bodyPr rot="0" spcFirstLastPara="1" vertOverflow="ellipsis" vert="horz" wrap="square" anchor="ctr" anchorCtr="1"/>
                <a:lstStyle/>
                <a:p>
                  <a:pPr>
                    <a:defRPr sz="1200" b="1" i="0" u="none" strike="noStrike" kern="1200" spc="0" baseline="0">
                      <a:solidFill>
                        <a:schemeClr val="bg1"/>
                      </a:solidFill>
                      <a:latin typeface="Bahnschrift Light SemiCondensed" panose="020B0502040204020203" pitchFamily="34" charset="0"/>
                      <a:ea typeface="+mn-ea"/>
                      <a:cs typeface="+mn-cs"/>
                    </a:defRPr>
                  </a:pPr>
                  <a:endParaRPr lang="en-US"/>
                </a:p>
              </c:txPr>
              <c:dLblPos val="inEnd"/>
              <c:showLegendKey val="0"/>
              <c:showVal val="1"/>
              <c:showCatName val="0"/>
              <c:showSerName val="0"/>
              <c:showPercent val="0"/>
              <c:showBubbleSize val="0"/>
              <c:extLst>
                <c:ext xmlns:c16="http://schemas.microsoft.com/office/drawing/2014/chart" uri="{C3380CC4-5D6E-409C-BE32-E72D297353CC}">
                  <c16:uniqueId val="{00000005-34F1-4F0D-99E4-4EA4E647C4B8}"/>
                </c:ext>
              </c:extLst>
            </c:dLbl>
            <c:dLbl>
              <c:idx val="3"/>
              <c:spPr>
                <a:noFill/>
                <a:ln>
                  <a:noFill/>
                </a:ln>
                <a:effectLst/>
              </c:spPr>
              <c:txPr>
                <a:bodyPr rot="0" spcFirstLastPara="1" vertOverflow="ellipsis" vert="horz" wrap="square" anchor="ctr" anchorCtr="1"/>
                <a:lstStyle/>
                <a:p>
                  <a:pPr>
                    <a:defRPr sz="1200" b="1" i="0" u="none" strike="noStrike" kern="1200" spc="0" baseline="0">
                      <a:solidFill>
                        <a:schemeClr val="bg1"/>
                      </a:solidFill>
                      <a:latin typeface="Bahnschrift Light SemiCondensed" panose="020B0502040204020203" pitchFamily="34" charset="0"/>
                      <a:ea typeface="+mn-ea"/>
                      <a:cs typeface="+mn-cs"/>
                    </a:defRPr>
                  </a:pPr>
                  <a:endParaRPr lang="en-US"/>
                </a:p>
              </c:txPr>
              <c:dLblPos val="inEnd"/>
              <c:showLegendKey val="0"/>
              <c:showVal val="1"/>
              <c:showCatName val="0"/>
              <c:showSerName val="0"/>
              <c:showPercent val="0"/>
              <c:showBubbleSize val="0"/>
              <c:extLst>
                <c:ext xmlns:c16="http://schemas.microsoft.com/office/drawing/2014/chart" uri="{C3380CC4-5D6E-409C-BE32-E72D297353CC}">
                  <c16:uniqueId val="{00000007-34F1-4F0D-99E4-4EA4E647C4B8}"/>
                </c:ext>
              </c:extLst>
            </c:dLbl>
            <c:spPr>
              <a:noFill/>
              <a:ln>
                <a:noFill/>
              </a:ln>
              <a:effectLst/>
            </c:spPr>
            <c:txPr>
              <a:bodyPr rot="0" spcFirstLastPara="1" vertOverflow="ellipsis" vert="horz" wrap="square" anchor="ctr" anchorCtr="1"/>
              <a:lstStyle/>
              <a:p>
                <a:pPr>
                  <a:defRPr sz="1200" b="1" i="0" u="none" strike="noStrike" kern="1200" spc="0" baseline="0">
                    <a:solidFill>
                      <a:schemeClr val="bg1"/>
                    </a:solidFill>
                    <a:latin typeface="Bahnschrift Light SemiCondensed" panose="020B0502040204020203" pitchFamily="34" charset="0"/>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Background!$Q$5:$T$5</c:f>
              <c:strCache>
                <c:ptCount val="4"/>
                <c:pt idx="0">
                  <c:v>Yes</c:v>
                </c:pt>
                <c:pt idx="1">
                  <c:v>Maybe</c:v>
                </c:pt>
                <c:pt idx="2">
                  <c:v>No</c:v>
                </c:pt>
                <c:pt idx="3">
                  <c:v>Blank</c:v>
                </c:pt>
              </c:strCache>
            </c:strRef>
          </c:cat>
          <c:val>
            <c:numRef>
              <c:f>Background!$Q$6:$T$6</c:f>
              <c:numCache>
                <c:formatCode>General</c:formatCode>
                <c:ptCount val="4"/>
                <c:pt idx="0">
                  <c:v>0</c:v>
                </c:pt>
                <c:pt idx="1">
                  <c:v>0</c:v>
                </c:pt>
                <c:pt idx="2">
                  <c:v>0</c:v>
                </c:pt>
                <c:pt idx="3">
                  <c:v>29</c:v>
                </c:pt>
              </c:numCache>
            </c:numRef>
          </c:val>
          <c:extLst>
            <c:ext xmlns:c16="http://schemas.microsoft.com/office/drawing/2014/chart" uri="{C3380CC4-5D6E-409C-BE32-E72D297353CC}">
              <c16:uniqueId val="{00000008-34F1-4F0D-99E4-4EA4E647C4B8}"/>
            </c:ext>
          </c:extLst>
        </c:ser>
        <c:dLbls>
          <c:dLblPos val="outEnd"/>
          <c:showLegendKey val="0"/>
          <c:showVal val="0"/>
          <c:showCatName val="0"/>
          <c:showSerName val="0"/>
          <c:showPercent val="1"/>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rgbClr val="343434"/>
              </a:solidFill>
              <a:latin typeface="Bahnschrift Light SemiCondensed" panose="020B0502040204020203" pitchFamily="34"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solidFill>
            <a:srgbClr val="343434"/>
          </a:solidFill>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200" b="1" i="0" u="none" strike="noStrike" kern="1200" cap="all" baseline="0">
                <a:solidFill>
                  <a:srgbClr val="343434"/>
                </a:solidFill>
                <a:latin typeface="+mn-lt"/>
                <a:ea typeface="+mn-ea"/>
                <a:cs typeface="+mn-cs"/>
              </a:defRPr>
            </a:pPr>
            <a:r>
              <a:rPr lang="en-US" sz="1200" b="0" i="0" u="none" strike="noStrike" kern="1200" cap="none" spc="0" normalizeH="0" baseline="0">
                <a:solidFill>
                  <a:srgbClr val="343434"/>
                </a:solidFill>
                <a:latin typeface="Bahnschrift Bold" panose="020B0502040204020203" pitchFamily="34" charset="0"/>
              </a:rPr>
              <a:t>Anticipated Quality of Life Prerequisites &amp; Credits</a:t>
            </a:r>
          </a:p>
        </c:rich>
      </c:tx>
      <c:overlay val="0"/>
      <c:spPr>
        <a:noFill/>
        <a:ln>
          <a:noFill/>
        </a:ln>
        <a:effectLst/>
      </c:spPr>
      <c:txPr>
        <a:bodyPr rot="0" spcFirstLastPara="1" vertOverflow="ellipsis" vert="horz" wrap="square" anchor="ctr" anchorCtr="1"/>
        <a:lstStyle/>
        <a:p>
          <a:pPr>
            <a:defRPr sz="1200" b="1" i="0" u="none" strike="noStrike" kern="1200" cap="all" baseline="0">
              <a:solidFill>
                <a:srgbClr val="343434"/>
              </a:solidFill>
              <a:latin typeface="+mn-lt"/>
              <a:ea typeface="+mn-ea"/>
              <a:cs typeface="+mn-cs"/>
            </a:defRPr>
          </a:pPr>
          <a:endParaRPr lang="en-US"/>
        </a:p>
      </c:txPr>
    </c:title>
    <c:autoTitleDeleted val="0"/>
    <c:plotArea>
      <c:layout/>
      <c:pieChart>
        <c:varyColors val="1"/>
        <c:ser>
          <c:idx val="0"/>
          <c:order val="0"/>
          <c:dPt>
            <c:idx val="0"/>
            <c:bubble3D val="0"/>
            <c:spPr>
              <a:solidFill>
                <a:schemeClr val="accent2">
                  <a:shade val="58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A-DA3D-483E-BCA8-62C611CE8348}"/>
              </c:ext>
            </c:extLst>
          </c:dPt>
          <c:dPt>
            <c:idx val="1"/>
            <c:bubble3D val="0"/>
            <c:spPr>
              <a:solidFill>
                <a:schemeClr val="accent2">
                  <a:shade val="86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B-DA3D-483E-BCA8-62C611CE8348}"/>
              </c:ext>
            </c:extLst>
          </c:dPt>
          <c:dPt>
            <c:idx val="2"/>
            <c:bubble3D val="0"/>
            <c:spPr>
              <a:solidFill>
                <a:schemeClr val="accent2">
                  <a:tint val="86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C-DA3D-483E-BCA8-62C611CE8348}"/>
              </c:ext>
            </c:extLst>
          </c:dPt>
          <c:dPt>
            <c:idx val="3"/>
            <c:bubble3D val="0"/>
            <c:spPr>
              <a:solidFill>
                <a:schemeClr val="accent2">
                  <a:tint val="58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D-DA3D-483E-BCA8-62C611CE8348}"/>
              </c:ext>
            </c:extLst>
          </c:dPt>
          <c:dLbls>
            <c:dLbl>
              <c:idx val="0"/>
              <c:spPr>
                <a:noFill/>
                <a:ln>
                  <a:noFill/>
                </a:ln>
                <a:effectLst/>
              </c:spPr>
              <c:txPr>
                <a:bodyPr rot="0" spcFirstLastPara="1" vertOverflow="ellipsis" vert="horz" wrap="square" anchor="ctr" anchorCtr="1"/>
                <a:lstStyle/>
                <a:p>
                  <a:pPr>
                    <a:defRPr sz="1200" b="1" i="0" u="none" strike="noStrike" kern="1200" spc="0" baseline="0">
                      <a:solidFill>
                        <a:schemeClr val="bg1"/>
                      </a:solidFill>
                      <a:latin typeface="Bahnschrift Light SemiCondensed" panose="020B0502040204020203" pitchFamily="34" charset="0"/>
                      <a:ea typeface="+mn-ea"/>
                      <a:cs typeface="+mn-cs"/>
                    </a:defRPr>
                  </a:pPr>
                  <a:endParaRPr lang="en-US"/>
                </a:p>
              </c:txPr>
              <c:dLblPos val="inEnd"/>
              <c:showLegendKey val="0"/>
              <c:showVal val="1"/>
              <c:showCatName val="0"/>
              <c:showSerName val="0"/>
              <c:showPercent val="0"/>
              <c:showBubbleSize val="0"/>
              <c:extLst>
                <c:ext xmlns:c16="http://schemas.microsoft.com/office/drawing/2014/chart" uri="{C3380CC4-5D6E-409C-BE32-E72D297353CC}">
                  <c16:uniqueId val="{0000000A-DA3D-483E-BCA8-62C611CE8348}"/>
                </c:ext>
              </c:extLst>
            </c:dLbl>
            <c:dLbl>
              <c:idx val="1"/>
              <c:spPr>
                <a:noFill/>
                <a:ln>
                  <a:noFill/>
                </a:ln>
                <a:effectLst/>
              </c:spPr>
              <c:txPr>
                <a:bodyPr rot="0" spcFirstLastPara="1" vertOverflow="ellipsis" vert="horz" wrap="square" anchor="ctr" anchorCtr="1"/>
                <a:lstStyle/>
                <a:p>
                  <a:pPr>
                    <a:defRPr sz="1200" b="1" i="0" u="none" strike="noStrike" kern="1200" spc="0" baseline="0">
                      <a:solidFill>
                        <a:schemeClr val="bg1"/>
                      </a:solidFill>
                      <a:latin typeface="Bahnschrift Light SemiCondensed" panose="020B0502040204020203" pitchFamily="34" charset="0"/>
                      <a:ea typeface="+mn-ea"/>
                      <a:cs typeface="+mn-cs"/>
                    </a:defRPr>
                  </a:pPr>
                  <a:endParaRPr lang="en-US"/>
                </a:p>
              </c:txPr>
              <c:dLblPos val="inEnd"/>
              <c:showLegendKey val="0"/>
              <c:showVal val="1"/>
              <c:showCatName val="0"/>
              <c:showSerName val="0"/>
              <c:showPercent val="0"/>
              <c:showBubbleSize val="0"/>
              <c:extLst>
                <c:ext xmlns:c16="http://schemas.microsoft.com/office/drawing/2014/chart" uri="{C3380CC4-5D6E-409C-BE32-E72D297353CC}">
                  <c16:uniqueId val="{0000000B-DA3D-483E-BCA8-62C611CE8348}"/>
                </c:ext>
              </c:extLst>
            </c:dLbl>
            <c:dLbl>
              <c:idx val="2"/>
              <c:spPr>
                <a:noFill/>
                <a:ln>
                  <a:noFill/>
                </a:ln>
                <a:effectLst/>
              </c:spPr>
              <c:txPr>
                <a:bodyPr rot="0" spcFirstLastPara="1" vertOverflow="ellipsis" vert="horz" wrap="square" anchor="ctr" anchorCtr="1"/>
                <a:lstStyle/>
                <a:p>
                  <a:pPr>
                    <a:defRPr sz="1200" b="1" i="0" u="none" strike="noStrike" kern="1200" spc="0" baseline="0">
                      <a:solidFill>
                        <a:schemeClr val="bg1"/>
                      </a:solidFill>
                      <a:latin typeface="Bahnschrift Light SemiCondensed" panose="020B0502040204020203" pitchFamily="34" charset="0"/>
                      <a:ea typeface="+mn-ea"/>
                      <a:cs typeface="+mn-cs"/>
                    </a:defRPr>
                  </a:pPr>
                  <a:endParaRPr lang="en-US"/>
                </a:p>
              </c:txPr>
              <c:dLblPos val="inEnd"/>
              <c:showLegendKey val="0"/>
              <c:showVal val="1"/>
              <c:showCatName val="0"/>
              <c:showSerName val="0"/>
              <c:showPercent val="0"/>
              <c:showBubbleSize val="0"/>
              <c:extLst>
                <c:ext xmlns:c16="http://schemas.microsoft.com/office/drawing/2014/chart" uri="{C3380CC4-5D6E-409C-BE32-E72D297353CC}">
                  <c16:uniqueId val="{0000000C-DA3D-483E-BCA8-62C611CE8348}"/>
                </c:ext>
              </c:extLst>
            </c:dLbl>
            <c:dLbl>
              <c:idx val="3"/>
              <c:spPr>
                <a:noFill/>
                <a:ln>
                  <a:noFill/>
                </a:ln>
                <a:effectLst/>
              </c:spPr>
              <c:txPr>
                <a:bodyPr rot="0" spcFirstLastPara="1" vertOverflow="ellipsis" vert="horz" wrap="square" anchor="ctr" anchorCtr="1"/>
                <a:lstStyle/>
                <a:p>
                  <a:pPr>
                    <a:defRPr sz="1200" b="1" i="0" u="none" strike="noStrike" kern="1200" spc="0" baseline="0">
                      <a:solidFill>
                        <a:schemeClr val="bg1"/>
                      </a:solidFill>
                      <a:latin typeface="Bahnschrift Light SemiCondensed" panose="020B0502040204020203" pitchFamily="34" charset="0"/>
                      <a:ea typeface="+mn-ea"/>
                      <a:cs typeface="+mn-cs"/>
                    </a:defRPr>
                  </a:pPr>
                  <a:endParaRPr lang="en-US"/>
                </a:p>
              </c:txPr>
              <c:dLblPos val="inEnd"/>
              <c:showLegendKey val="0"/>
              <c:showVal val="1"/>
              <c:showCatName val="0"/>
              <c:showSerName val="0"/>
              <c:showPercent val="0"/>
              <c:showBubbleSize val="0"/>
              <c:extLst>
                <c:ext xmlns:c16="http://schemas.microsoft.com/office/drawing/2014/chart" uri="{C3380CC4-5D6E-409C-BE32-E72D297353CC}">
                  <c16:uniqueId val="{0000000D-DA3D-483E-BCA8-62C611CE8348}"/>
                </c:ext>
              </c:extLst>
            </c:dLbl>
            <c:spPr>
              <a:noFill/>
              <a:ln>
                <a:noFill/>
              </a:ln>
              <a:effectLst/>
            </c:spPr>
            <c:txPr>
              <a:bodyPr rot="0" spcFirstLastPara="1" vertOverflow="ellipsis" vert="horz" wrap="square" anchor="ctr" anchorCtr="1"/>
              <a:lstStyle/>
              <a:p>
                <a:pPr>
                  <a:defRPr sz="1200" b="1" i="0" u="none" strike="noStrike" kern="1200" spc="0" baseline="0">
                    <a:solidFill>
                      <a:schemeClr val="bg1"/>
                    </a:solidFill>
                    <a:latin typeface="Bahnschrift Light SemiCondensed" panose="020B0502040204020203" pitchFamily="34" charset="0"/>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Background!$Q$10:$T$10</c:f>
              <c:strCache>
                <c:ptCount val="4"/>
                <c:pt idx="0">
                  <c:v>Yes</c:v>
                </c:pt>
                <c:pt idx="1">
                  <c:v>Maybe</c:v>
                </c:pt>
                <c:pt idx="2">
                  <c:v>No</c:v>
                </c:pt>
                <c:pt idx="3">
                  <c:v>Blank</c:v>
                </c:pt>
              </c:strCache>
            </c:strRef>
          </c:cat>
          <c:val>
            <c:numRef>
              <c:f>Background!$Q$11:$T$11</c:f>
              <c:numCache>
                <c:formatCode>General</c:formatCode>
                <c:ptCount val="4"/>
                <c:pt idx="0">
                  <c:v>0</c:v>
                </c:pt>
                <c:pt idx="1">
                  <c:v>0</c:v>
                </c:pt>
                <c:pt idx="2">
                  <c:v>0</c:v>
                </c:pt>
                <c:pt idx="3">
                  <c:v>21</c:v>
                </c:pt>
              </c:numCache>
            </c:numRef>
          </c:val>
          <c:extLst>
            <c:ext xmlns:c16="http://schemas.microsoft.com/office/drawing/2014/chart" uri="{C3380CC4-5D6E-409C-BE32-E72D297353CC}">
              <c16:uniqueId val="{00000009-DA3D-483E-BCA8-62C611CE8348}"/>
            </c:ext>
          </c:extLst>
        </c:ser>
        <c:dLbls>
          <c:dLblPos val="outEnd"/>
          <c:showLegendKey val="0"/>
          <c:showVal val="0"/>
          <c:showCatName val="0"/>
          <c:showSerName val="0"/>
          <c:showPercent val="1"/>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rgbClr val="343434"/>
              </a:solidFill>
              <a:latin typeface="Bahnschrift Light SemiCondensed" panose="020B0502040204020203" pitchFamily="34"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solidFill>
            <a:srgbClr val="343434"/>
          </a:solidFill>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defRPr sz="1200" b="1" i="0" u="none" strike="noStrike" kern="1200" cap="all" baseline="0">
                <a:solidFill>
                  <a:srgbClr val="343434"/>
                </a:solidFill>
                <a:latin typeface="Bahnschrift Bold" panose="020B0502040204020203" pitchFamily="34" charset="0"/>
                <a:ea typeface="+mn-ea"/>
                <a:cs typeface="+mn-cs"/>
              </a:defRPr>
            </a:pPr>
            <a:r>
              <a:rPr lang="en-US" sz="1200" b="0" i="0" u="none" strike="noStrike" kern="1200" cap="none" spc="0" normalizeH="0" baseline="0">
                <a:solidFill>
                  <a:srgbClr val="343434"/>
                </a:solidFill>
                <a:latin typeface="Bahnschrift Bold" panose="020B0502040204020203" pitchFamily="34" charset="0"/>
              </a:rPr>
              <a:t>Anticipated Ecological Conservation and Restoration Prerequisites &amp; Credits</a:t>
            </a:r>
          </a:p>
        </c:rich>
      </c:tx>
      <c:overlay val="0"/>
      <c:spPr>
        <a:noFill/>
        <a:ln>
          <a:noFill/>
        </a:ln>
        <a:effectLst/>
      </c:spPr>
      <c:txPr>
        <a:bodyPr rot="0" spcFirstLastPara="1" vertOverflow="ellipsis" vert="horz" wrap="square" anchor="ctr" anchorCtr="1"/>
        <a:lstStyle/>
        <a:p>
          <a:pPr>
            <a:defRPr sz="1200" b="1" i="0" u="none" strike="noStrike" kern="1200" cap="all" baseline="0">
              <a:solidFill>
                <a:srgbClr val="343434"/>
              </a:solidFill>
              <a:latin typeface="Bahnschrift Bold" panose="020B0502040204020203" pitchFamily="34" charset="0"/>
              <a:ea typeface="+mn-ea"/>
              <a:cs typeface="+mn-cs"/>
            </a:defRPr>
          </a:pPr>
          <a:endParaRPr lang="en-US"/>
        </a:p>
      </c:txPr>
    </c:title>
    <c:autoTitleDeleted val="0"/>
    <c:plotArea>
      <c:layout>
        <c:manualLayout>
          <c:layoutTarget val="inner"/>
          <c:xMode val="edge"/>
          <c:yMode val="edge"/>
          <c:x val="0.3214610673665792"/>
          <c:y val="0.25620555248523047"/>
          <c:w val="0.415411198600175"/>
          <c:h val="0.69283313178625427"/>
        </c:manualLayout>
      </c:layout>
      <c:pieChart>
        <c:varyColors val="1"/>
        <c:ser>
          <c:idx val="0"/>
          <c:order val="0"/>
          <c:dPt>
            <c:idx val="0"/>
            <c:bubble3D val="0"/>
            <c:spPr>
              <a:solidFill>
                <a:schemeClr val="accent3">
                  <a:shade val="58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A-9EA7-4014-A096-9F3B034378C3}"/>
              </c:ext>
            </c:extLst>
          </c:dPt>
          <c:dPt>
            <c:idx val="1"/>
            <c:bubble3D val="0"/>
            <c:spPr>
              <a:solidFill>
                <a:schemeClr val="accent3">
                  <a:shade val="86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B-9EA7-4014-A096-9F3B034378C3}"/>
              </c:ext>
            </c:extLst>
          </c:dPt>
          <c:dPt>
            <c:idx val="2"/>
            <c:bubble3D val="0"/>
            <c:spPr>
              <a:solidFill>
                <a:schemeClr val="accent3">
                  <a:tint val="86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C-9EA7-4014-A096-9F3B034378C3}"/>
              </c:ext>
            </c:extLst>
          </c:dPt>
          <c:dPt>
            <c:idx val="3"/>
            <c:bubble3D val="0"/>
            <c:spPr>
              <a:solidFill>
                <a:schemeClr val="accent3">
                  <a:tint val="58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D-9EA7-4014-A096-9F3B034378C3}"/>
              </c:ext>
            </c:extLst>
          </c:dPt>
          <c:dLbls>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spc="0" baseline="0">
                      <a:solidFill>
                        <a:schemeClr val="bg1"/>
                      </a:solidFill>
                      <a:latin typeface="Bahnschrift Light SemiCondensed" panose="020B0502040204020203" pitchFamily="34" charset="0"/>
                      <a:ea typeface="+mn-ea"/>
                      <a:cs typeface="+mn-cs"/>
                    </a:defRPr>
                  </a:pPr>
                  <a:endParaRPr lang="en-US"/>
                </a:p>
              </c:txPr>
              <c:dLblPos val="inEnd"/>
              <c:showLegendKey val="0"/>
              <c:showVal val="1"/>
              <c:showCatName val="0"/>
              <c:showSerName val="0"/>
              <c:showPercent val="0"/>
              <c:showBubbleSize val="0"/>
              <c:extLst>
                <c:ext xmlns:c16="http://schemas.microsoft.com/office/drawing/2014/chart" uri="{C3380CC4-5D6E-409C-BE32-E72D297353CC}">
                  <c16:uniqueId val="{0000000A-9EA7-4014-A096-9F3B034378C3}"/>
                </c:ext>
              </c:extLst>
            </c:dLbl>
            <c:dLbl>
              <c:idx val="1"/>
              <c:spPr>
                <a:noFill/>
                <a:ln>
                  <a:noFill/>
                </a:ln>
                <a:effectLst/>
              </c:spPr>
              <c:txPr>
                <a:bodyPr rot="0" spcFirstLastPara="1" vertOverflow="ellipsis" vert="horz" wrap="square" lIns="38100" tIns="19050" rIns="38100" bIns="19050" anchor="ctr" anchorCtr="1">
                  <a:spAutoFit/>
                </a:bodyPr>
                <a:lstStyle/>
                <a:p>
                  <a:pPr>
                    <a:defRPr sz="1200" b="1" i="0" u="none" strike="noStrike" kern="1200" spc="0" baseline="0">
                      <a:solidFill>
                        <a:schemeClr val="bg1"/>
                      </a:solidFill>
                      <a:latin typeface="Bahnschrift Light SemiCondensed" panose="020B0502040204020203" pitchFamily="34" charset="0"/>
                      <a:ea typeface="+mn-ea"/>
                      <a:cs typeface="+mn-cs"/>
                    </a:defRPr>
                  </a:pPr>
                  <a:endParaRPr lang="en-US"/>
                </a:p>
              </c:txPr>
              <c:dLblPos val="inEnd"/>
              <c:showLegendKey val="0"/>
              <c:showVal val="1"/>
              <c:showCatName val="0"/>
              <c:showSerName val="0"/>
              <c:showPercent val="0"/>
              <c:showBubbleSize val="0"/>
              <c:extLst>
                <c:ext xmlns:c16="http://schemas.microsoft.com/office/drawing/2014/chart" uri="{C3380CC4-5D6E-409C-BE32-E72D297353CC}">
                  <c16:uniqueId val="{0000000B-9EA7-4014-A096-9F3B034378C3}"/>
                </c:ext>
              </c:extLst>
            </c:dLbl>
            <c:dLbl>
              <c:idx val="2"/>
              <c:spPr>
                <a:noFill/>
                <a:ln>
                  <a:noFill/>
                </a:ln>
                <a:effectLst/>
              </c:spPr>
              <c:txPr>
                <a:bodyPr rot="0" spcFirstLastPara="1" vertOverflow="ellipsis" vert="horz" wrap="square" lIns="38100" tIns="19050" rIns="38100" bIns="19050" anchor="ctr" anchorCtr="1">
                  <a:spAutoFit/>
                </a:bodyPr>
                <a:lstStyle/>
                <a:p>
                  <a:pPr>
                    <a:defRPr sz="1200" b="1" i="0" u="none" strike="noStrike" kern="1200" spc="0" baseline="0">
                      <a:solidFill>
                        <a:schemeClr val="bg1"/>
                      </a:solidFill>
                      <a:latin typeface="Bahnschrift Light SemiCondensed" panose="020B0502040204020203" pitchFamily="34" charset="0"/>
                      <a:ea typeface="+mn-ea"/>
                      <a:cs typeface="+mn-cs"/>
                    </a:defRPr>
                  </a:pPr>
                  <a:endParaRPr lang="en-US"/>
                </a:p>
              </c:txPr>
              <c:dLblPos val="inEnd"/>
              <c:showLegendKey val="0"/>
              <c:showVal val="1"/>
              <c:showCatName val="0"/>
              <c:showSerName val="0"/>
              <c:showPercent val="0"/>
              <c:showBubbleSize val="0"/>
              <c:extLst>
                <c:ext xmlns:c16="http://schemas.microsoft.com/office/drawing/2014/chart" uri="{C3380CC4-5D6E-409C-BE32-E72D297353CC}">
                  <c16:uniqueId val="{0000000C-9EA7-4014-A096-9F3B034378C3}"/>
                </c:ext>
              </c:extLst>
            </c:dLbl>
            <c:dLbl>
              <c:idx val="3"/>
              <c:spPr>
                <a:noFill/>
                <a:ln>
                  <a:noFill/>
                </a:ln>
                <a:effectLst/>
              </c:spPr>
              <c:txPr>
                <a:bodyPr rot="0" spcFirstLastPara="1" vertOverflow="ellipsis" vert="horz" wrap="square" lIns="38100" tIns="19050" rIns="38100" bIns="19050" anchor="ctr" anchorCtr="1">
                  <a:spAutoFit/>
                </a:bodyPr>
                <a:lstStyle/>
                <a:p>
                  <a:pPr>
                    <a:defRPr sz="1200" b="1" i="0" u="none" strike="noStrike" kern="1200" spc="0" baseline="0">
                      <a:solidFill>
                        <a:schemeClr val="bg1"/>
                      </a:solidFill>
                      <a:latin typeface="Bahnschrift Light SemiCondensed" panose="020B0502040204020203" pitchFamily="34" charset="0"/>
                      <a:ea typeface="+mn-ea"/>
                      <a:cs typeface="+mn-cs"/>
                    </a:defRPr>
                  </a:pPr>
                  <a:endParaRPr lang="en-US"/>
                </a:p>
              </c:txPr>
              <c:dLblPos val="inEnd"/>
              <c:showLegendKey val="0"/>
              <c:showVal val="1"/>
              <c:showCatName val="0"/>
              <c:showSerName val="0"/>
              <c:showPercent val="0"/>
              <c:showBubbleSize val="0"/>
              <c:extLst>
                <c:ext xmlns:c16="http://schemas.microsoft.com/office/drawing/2014/chart" uri="{C3380CC4-5D6E-409C-BE32-E72D297353CC}">
                  <c16:uniqueId val="{0000000D-9EA7-4014-A096-9F3B034378C3}"/>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spc="0" baseline="0">
                    <a:solidFill>
                      <a:schemeClr val="bg1"/>
                    </a:solidFill>
                    <a:latin typeface="Bahnschrift Light SemiCondensed" panose="020B0502040204020203" pitchFamily="34" charset="0"/>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Background!$Q$14:$T$14</c:f>
              <c:strCache>
                <c:ptCount val="4"/>
                <c:pt idx="0">
                  <c:v>Yes</c:v>
                </c:pt>
                <c:pt idx="1">
                  <c:v>Maybe</c:v>
                </c:pt>
                <c:pt idx="2">
                  <c:v>No</c:v>
                </c:pt>
                <c:pt idx="3">
                  <c:v>Blank</c:v>
                </c:pt>
              </c:strCache>
            </c:strRef>
          </c:cat>
          <c:val>
            <c:numRef>
              <c:f>Background!$Q$15:$T$15</c:f>
              <c:numCache>
                <c:formatCode>General</c:formatCode>
                <c:ptCount val="4"/>
                <c:pt idx="0">
                  <c:v>0</c:v>
                </c:pt>
                <c:pt idx="1">
                  <c:v>0</c:v>
                </c:pt>
                <c:pt idx="2">
                  <c:v>0</c:v>
                </c:pt>
                <c:pt idx="3">
                  <c:v>21</c:v>
                </c:pt>
              </c:numCache>
            </c:numRef>
          </c:val>
          <c:extLst>
            <c:ext xmlns:c16="http://schemas.microsoft.com/office/drawing/2014/chart" uri="{C3380CC4-5D6E-409C-BE32-E72D297353CC}">
              <c16:uniqueId val="{00000009-9EA7-4014-A096-9F3B034378C3}"/>
            </c:ext>
          </c:extLst>
        </c:ser>
        <c:dLbls>
          <c:dLblPos val="outEnd"/>
          <c:showLegendKey val="0"/>
          <c:showVal val="0"/>
          <c:showCatName val="0"/>
          <c:showSerName val="0"/>
          <c:showPercent val="1"/>
          <c:showBubbleSize val="0"/>
          <c:showLeaderLines val="1"/>
        </c:dLbls>
        <c:firstSliceAng val="0"/>
      </c:pieChart>
      <c:spPr>
        <a:noFill/>
        <a:ln>
          <a:noFill/>
        </a:ln>
        <a:effectLst/>
      </c:spPr>
    </c:plotArea>
    <c:legend>
      <c:legendPos val="t"/>
      <c:layout>
        <c:manualLayout>
          <c:xMode val="edge"/>
          <c:yMode val="edge"/>
          <c:x val="0.3347217847769029"/>
          <c:y val="0.16497567755385684"/>
          <c:w val="0.34166754155730533"/>
          <c:h val="7.7331334278142261E-2"/>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343434"/>
              </a:solidFill>
              <a:latin typeface="Bahnschrift Light SemiCondensed" panose="020B0502040204020203" pitchFamily="34"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defRPr sz="2000" b="0" i="0" u="none" strike="noStrike" kern="1200" cap="none" spc="0" normalizeH="0" baseline="0">
                <a:solidFill>
                  <a:srgbClr val="343434"/>
                </a:solidFill>
                <a:latin typeface="+mj-lt"/>
                <a:ea typeface="+mj-ea"/>
                <a:cs typeface="+mj-cs"/>
              </a:defRPr>
            </a:pPr>
            <a:r>
              <a:rPr lang="en-US" sz="1400">
                <a:latin typeface="Bahnschrift Bold" panose="020B0502040204020203" pitchFamily="34" charset="0"/>
              </a:rPr>
              <a:t>Total Anticipated Points by Credit Category</a:t>
            </a: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rgbClr val="343434"/>
              </a:solidFill>
              <a:latin typeface="+mj-lt"/>
              <a:ea typeface="+mj-ea"/>
              <a:cs typeface="+mj-cs"/>
            </a:defRPr>
          </a:pPr>
          <a:endParaRPr lang="en-US"/>
        </a:p>
      </c:txPr>
    </c:title>
    <c:autoTitleDeleted val="0"/>
    <c:plotArea>
      <c:layout>
        <c:manualLayout>
          <c:layoutTarget val="inner"/>
          <c:xMode val="edge"/>
          <c:yMode val="edge"/>
          <c:x val="0.41059361329833771"/>
          <c:y val="0.2158246828143022"/>
          <c:w val="0.55323272090988629"/>
          <c:h val="0.67684712421327953"/>
        </c:manualLayout>
      </c:layout>
      <c:barChart>
        <c:barDir val="bar"/>
        <c:grouping val="clustered"/>
        <c:varyColors val="0"/>
        <c:ser>
          <c:idx val="0"/>
          <c:order val="0"/>
          <c:tx>
            <c:strRef>
              <c:f>Background!$F$15</c:f>
              <c:strCache>
                <c:ptCount val="1"/>
                <c:pt idx="0">
                  <c:v>Total Anticipated Points</c:v>
                </c:pt>
              </c:strCache>
            </c:strRef>
          </c:tx>
          <c:spPr>
            <a:solidFill>
              <a:schemeClr val="accent3"/>
            </a:solidFill>
            <a:ln>
              <a:noFill/>
            </a:ln>
            <a:effectLst/>
          </c:spPr>
          <c:invertIfNegative val="0"/>
          <c:cat>
            <c:strRef>
              <c:f>Background!$A$18:$A$25</c:f>
              <c:strCache>
                <c:ptCount val="8"/>
                <c:pt idx="0">
                  <c:v>Integrative Process, Planning and Assessments (IP)</c:v>
                </c:pt>
                <c:pt idx="1">
                  <c:v>Location and Transportation (LT)</c:v>
                </c:pt>
                <c:pt idx="2">
                  <c:v>Sustainable Sites (SS)</c:v>
                </c:pt>
                <c:pt idx="3">
                  <c:v>Water Efficiency (WE)</c:v>
                </c:pt>
                <c:pt idx="4">
                  <c:v>Energy and Atmosphere (EA)</c:v>
                </c:pt>
                <c:pt idx="5">
                  <c:v>Materials and Resources (MR)</c:v>
                </c:pt>
                <c:pt idx="6">
                  <c:v>Indoor Environmental Quality (EQ)</c:v>
                </c:pt>
                <c:pt idx="7">
                  <c:v>Project Priorities (PR)</c:v>
                </c:pt>
              </c:strCache>
            </c:strRef>
          </c:cat>
          <c:val>
            <c:numRef>
              <c:f>Background!$F$18:$F$25</c:f>
              <c:numCache>
                <c:formatCode>General</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0-C1D6-4DBF-BAA5-9C0BCB63438A}"/>
            </c:ext>
          </c:extLst>
        </c:ser>
        <c:dLbls>
          <c:showLegendKey val="0"/>
          <c:showVal val="0"/>
          <c:showCatName val="0"/>
          <c:showSerName val="0"/>
          <c:showPercent val="0"/>
          <c:showBubbleSize val="0"/>
        </c:dLbls>
        <c:gapWidth val="269"/>
        <c:overlap val="-20"/>
        <c:axId val="948480928"/>
        <c:axId val="948480448"/>
      </c:barChart>
      <c:catAx>
        <c:axId val="94848092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cap="none" spc="0" normalizeH="0" baseline="0">
                <a:solidFill>
                  <a:srgbClr val="343434"/>
                </a:solidFill>
                <a:latin typeface="Bahnschrift Light SemiCondensed" panose="020B0502040204020203" pitchFamily="34" charset="0"/>
                <a:ea typeface="+mn-ea"/>
                <a:cs typeface="+mn-cs"/>
              </a:defRPr>
            </a:pPr>
            <a:endParaRPr lang="en-US"/>
          </a:p>
        </c:txPr>
        <c:crossAx val="948480448"/>
        <c:crosses val="autoZero"/>
        <c:auto val="1"/>
        <c:lblAlgn val="ctr"/>
        <c:lblOffset val="100"/>
        <c:noMultiLvlLbl val="0"/>
      </c:catAx>
      <c:valAx>
        <c:axId val="948480448"/>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43434"/>
                </a:solidFill>
                <a:latin typeface="Bahnschrift Light SemiCondensed" panose="020B0502040204020203" pitchFamily="34" charset="0"/>
                <a:ea typeface="+mn-ea"/>
                <a:cs typeface="+mn-cs"/>
              </a:defRPr>
            </a:pPr>
            <a:endParaRPr lang="en-US"/>
          </a:p>
        </c:txPr>
        <c:crossAx val="94848092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solidFill>
            <a:srgbClr val="343434"/>
          </a:solidFill>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title>
      <c:tx>
        <c:rich>
          <a:bodyPr rot="0" spcFirstLastPara="1" vertOverflow="ellipsis" vert="horz" wrap="square" anchor="ctr" anchorCtr="1"/>
          <a:lstStyle/>
          <a:p>
            <a:pPr>
              <a:defRPr sz="1400" b="0" i="0" u="none" strike="noStrike" kern="1200" cap="none" spc="0" normalizeH="0" baseline="0">
                <a:solidFill>
                  <a:srgbClr val="343434"/>
                </a:solidFill>
                <a:latin typeface="Bahnschrift Bold" panose="020B0502040204020203" pitchFamily="34" charset="0"/>
                <a:ea typeface="+mj-ea"/>
                <a:cs typeface="+mj-cs"/>
              </a:defRPr>
            </a:pPr>
            <a:r>
              <a:rPr lang="en-US" sz="1400" b="0">
                <a:latin typeface="Bahnschrift Bold" panose="020B0502040204020203" pitchFamily="34" charset="0"/>
              </a:rPr>
              <a:t>Total Possible Points by</a:t>
            </a:r>
            <a:r>
              <a:rPr lang="en-US" sz="1400" b="0" baseline="0">
                <a:latin typeface="Bahnschrift Bold" panose="020B0502040204020203" pitchFamily="34" charset="0"/>
              </a:rPr>
              <a:t> Credit Category</a:t>
            </a:r>
            <a:endParaRPr lang="en-US" sz="1400" b="0">
              <a:latin typeface="Bahnschrift Bold" panose="020B0502040204020203" pitchFamily="34" charset="0"/>
            </a:endParaRPr>
          </a:p>
        </c:rich>
      </c:tx>
      <c:overlay val="0"/>
      <c:spPr>
        <a:noFill/>
        <a:ln>
          <a:noFill/>
        </a:ln>
        <a:effectLst/>
      </c:spPr>
      <c:txPr>
        <a:bodyPr rot="0" spcFirstLastPara="1" vertOverflow="ellipsis" vert="horz" wrap="square" anchor="ctr" anchorCtr="1"/>
        <a:lstStyle/>
        <a:p>
          <a:pPr>
            <a:defRPr sz="1400" b="0" i="0" u="none" strike="noStrike" kern="1200" cap="none" spc="0" normalizeH="0" baseline="0">
              <a:solidFill>
                <a:srgbClr val="343434"/>
              </a:solidFill>
              <a:latin typeface="Bahnschrift Bold" panose="020B0502040204020203" pitchFamily="34" charset="0"/>
              <a:ea typeface="+mj-ea"/>
              <a:cs typeface="+mj-cs"/>
            </a:defRPr>
          </a:pPr>
          <a:endParaRPr lang="en-US"/>
        </a:p>
      </c:txPr>
    </c:title>
    <c:autoTitleDeleted val="0"/>
    <c:plotArea>
      <c:layout/>
      <c:barChart>
        <c:barDir val="bar"/>
        <c:grouping val="clustered"/>
        <c:varyColors val="0"/>
        <c:ser>
          <c:idx val="0"/>
          <c:order val="0"/>
          <c:tx>
            <c:strRef>
              <c:f>Background!$E$15</c:f>
              <c:strCache>
                <c:ptCount val="1"/>
                <c:pt idx="0">
                  <c:v>Total Possible Points</c:v>
                </c:pt>
              </c:strCache>
            </c:strRef>
          </c:tx>
          <c:spPr>
            <a:solidFill>
              <a:schemeClr val="dk1">
                <a:tint val="88500"/>
              </a:schemeClr>
            </a:solidFill>
            <a:ln>
              <a:noFill/>
            </a:ln>
            <a:effectLst/>
          </c:spPr>
          <c:invertIfNegative val="0"/>
          <c:cat>
            <c:strRef>
              <c:f>Background!$A$18:$A$25</c:f>
              <c:strCache>
                <c:ptCount val="8"/>
                <c:pt idx="0">
                  <c:v>Integrative Process, Planning and Assessments (IP)</c:v>
                </c:pt>
                <c:pt idx="1">
                  <c:v>Location and Transportation (LT)</c:v>
                </c:pt>
                <c:pt idx="2">
                  <c:v>Sustainable Sites (SS)</c:v>
                </c:pt>
                <c:pt idx="3">
                  <c:v>Water Efficiency (WE)</c:v>
                </c:pt>
                <c:pt idx="4">
                  <c:v>Energy and Atmosphere (EA)</c:v>
                </c:pt>
                <c:pt idx="5">
                  <c:v>Materials and Resources (MR)</c:v>
                </c:pt>
                <c:pt idx="6">
                  <c:v>Indoor Environmental Quality (EQ)</c:v>
                </c:pt>
                <c:pt idx="7">
                  <c:v>Project Priorities (PR)</c:v>
                </c:pt>
              </c:strCache>
            </c:strRef>
          </c:cat>
          <c:val>
            <c:numRef>
              <c:f>Background!$E$18:$E$25</c:f>
              <c:numCache>
                <c:formatCode>General</c:formatCode>
                <c:ptCount val="8"/>
                <c:pt idx="0">
                  <c:v>7</c:v>
                </c:pt>
                <c:pt idx="1">
                  <c:v>15</c:v>
                </c:pt>
                <c:pt idx="2">
                  <c:v>11</c:v>
                </c:pt>
                <c:pt idx="3">
                  <c:v>8</c:v>
                </c:pt>
                <c:pt idx="4">
                  <c:v>27</c:v>
                </c:pt>
                <c:pt idx="5">
                  <c:v>21</c:v>
                </c:pt>
                <c:pt idx="6">
                  <c:v>11</c:v>
                </c:pt>
                <c:pt idx="7">
                  <c:v>10</c:v>
                </c:pt>
              </c:numCache>
            </c:numRef>
          </c:val>
          <c:extLst>
            <c:ext xmlns:c16="http://schemas.microsoft.com/office/drawing/2014/chart" uri="{C3380CC4-5D6E-409C-BE32-E72D297353CC}">
              <c16:uniqueId val="{00000000-B454-4052-8E71-17552E55B59A}"/>
            </c:ext>
          </c:extLst>
        </c:ser>
        <c:dLbls>
          <c:showLegendKey val="0"/>
          <c:showVal val="0"/>
          <c:showCatName val="0"/>
          <c:showSerName val="0"/>
          <c:showPercent val="0"/>
          <c:showBubbleSize val="0"/>
        </c:dLbls>
        <c:gapWidth val="269"/>
        <c:overlap val="-20"/>
        <c:axId val="948480928"/>
        <c:axId val="948480448"/>
      </c:barChart>
      <c:catAx>
        <c:axId val="94848092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cap="none" spc="0" normalizeH="0" baseline="0">
                <a:solidFill>
                  <a:srgbClr val="343434"/>
                </a:solidFill>
                <a:latin typeface="Bahnschrift Light SemiCondensed" panose="020B0502040204020203" pitchFamily="34" charset="0"/>
                <a:ea typeface="+mn-ea"/>
                <a:cs typeface="+mn-cs"/>
              </a:defRPr>
            </a:pPr>
            <a:endParaRPr lang="en-US"/>
          </a:p>
        </c:txPr>
        <c:crossAx val="948480448"/>
        <c:crosses val="autoZero"/>
        <c:auto val="1"/>
        <c:lblAlgn val="ctr"/>
        <c:lblOffset val="100"/>
        <c:noMultiLvlLbl val="0"/>
      </c:catAx>
      <c:valAx>
        <c:axId val="948480448"/>
        <c:scaling>
          <c:orientation val="minMax"/>
          <c:max val="35"/>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43434"/>
                </a:solidFill>
                <a:latin typeface="Bahnschrift Light SemiCondensed" panose="020B0502040204020203" pitchFamily="34" charset="0"/>
                <a:ea typeface="+mn-ea"/>
                <a:cs typeface="+mn-cs"/>
              </a:defRPr>
            </a:pPr>
            <a:endParaRPr lang="en-US"/>
          </a:p>
        </c:txPr>
        <c:crossAx val="94848092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solidFill>
            <a:srgbClr val="343434"/>
          </a:solidFill>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6">
  <a:schemeClr val="accent3"/>
</cs:colorStyle>
</file>

<file path=xl/charts/colors2.xml><?xml version="1.0" encoding="utf-8"?>
<cs:colorStyle xmlns:cs="http://schemas.microsoft.com/office/drawing/2012/chartStyle" xmlns:a="http://schemas.openxmlformats.org/drawingml/2006/main" meth="withinLinearReversed" id="23">
  <a:schemeClr val="accent3"/>
</cs:colorStyle>
</file>

<file path=xl/charts/colors3.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4.xml><?xml version="1.0" encoding="utf-8"?>
<cs:colorStyle xmlns:cs="http://schemas.microsoft.com/office/drawing/2012/chartStyle" xmlns:a="http://schemas.openxmlformats.org/drawingml/2006/main" meth="withinLinear" id="17">
  <a:schemeClr val="accent4"/>
</cs:colorStyle>
</file>

<file path=xl/charts/colors5.xml><?xml version="1.0" encoding="utf-8"?>
<cs:colorStyle xmlns:cs="http://schemas.microsoft.com/office/drawing/2012/chartStyle" xmlns:a="http://schemas.openxmlformats.org/drawingml/2006/main" meth="withinLinear" id="15">
  <a:schemeClr val="accent2"/>
</cs:colorStyle>
</file>

<file path=xl/charts/colors6.xml><?xml version="1.0" encoding="utf-8"?>
<cs:colorStyle xmlns:cs="http://schemas.microsoft.com/office/drawing/2012/chartStyle" xmlns:a="http://schemas.openxmlformats.org/drawingml/2006/main" meth="withinLinear" id="16">
  <a:schemeClr val="accent3"/>
</cs:colorStyle>
</file>

<file path=xl/charts/colors7.xml><?xml version="1.0" encoding="utf-8"?>
<cs:colorStyle xmlns:cs="http://schemas.microsoft.com/office/drawing/2012/chartStyle" xmlns:a="http://schemas.openxmlformats.org/drawingml/2006/main" meth="withinLinear" id="16">
  <a:schemeClr val="accent3"/>
</cs:colorStyle>
</file>

<file path=xl/charts/colors8.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style1.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2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9</xdr:col>
      <xdr:colOff>27257</xdr:colOff>
      <xdr:row>1</xdr:row>
      <xdr:rowOff>330645</xdr:rowOff>
    </xdr:from>
    <xdr:to>
      <xdr:col>10</xdr:col>
      <xdr:colOff>322532</xdr:colOff>
      <xdr:row>1</xdr:row>
      <xdr:rowOff>626682</xdr:rowOff>
    </xdr:to>
    <xdr:pic>
      <xdr:nvPicPr>
        <xdr:cNvPr id="2" name="Picture 1">
          <a:extLst>
            <a:ext uri="{FF2B5EF4-FFF2-40B4-BE49-F238E27FC236}">
              <a16:creationId xmlns:a16="http://schemas.microsoft.com/office/drawing/2014/main" id="{9E635532-DDEF-4B6C-A9E7-8178FE1C2636}"/>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121352" y="507810"/>
          <a:ext cx="910590" cy="30365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436245</xdr:colOff>
      <xdr:row>19</xdr:row>
      <xdr:rowOff>59055</xdr:rowOff>
    </xdr:from>
    <xdr:to>
      <xdr:col>11</xdr:col>
      <xdr:colOff>588645</xdr:colOff>
      <xdr:row>34</xdr:row>
      <xdr:rowOff>85725</xdr:rowOff>
    </xdr:to>
    <xdr:graphicFrame macro="">
      <xdr:nvGraphicFramePr>
        <xdr:cNvPr id="2" name="Chart 1">
          <a:extLst>
            <a:ext uri="{FF2B5EF4-FFF2-40B4-BE49-F238E27FC236}">
              <a16:creationId xmlns:a16="http://schemas.microsoft.com/office/drawing/2014/main" id="{F919C673-8CC3-4F82-B335-794280E6C5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601979</xdr:colOff>
      <xdr:row>19</xdr:row>
      <xdr:rowOff>49530</xdr:rowOff>
    </xdr:from>
    <xdr:to>
      <xdr:col>23</xdr:col>
      <xdr:colOff>144779</xdr:colOff>
      <xdr:row>34</xdr:row>
      <xdr:rowOff>76200</xdr:rowOff>
    </xdr:to>
    <xdr:graphicFrame macro="">
      <xdr:nvGraphicFramePr>
        <xdr:cNvPr id="3" name="Chart 2">
          <a:extLst>
            <a:ext uri="{FF2B5EF4-FFF2-40B4-BE49-F238E27FC236}">
              <a16:creationId xmlns:a16="http://schemas.microsoft.com/office/drawing/2014/main" id="{9AF2686E-608F-406F-9334-9EE080BC37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460057</xdr:colOff>
      <xdr:row>4</xdr:row>
      <xdr:rowOff>116205</xdr:rowOff>
    </xdr:from>
    <xdr:to>
      <xdr:col>23</xdr:col>
      <xdr:colOff>155257</xdr:colOff>
      <xdr:row>19</xdr:row>
      <xdr:rowOff>59055</xdr:rowOff>
    </xdr:to>
    <xdr:graphicFrame macro="">
      <xdr:nvGraphicFramePr>
        <xdr:cNvPr id="6" name="Chart 5">
          <a:extLst>
            <a:ext uri="{FF2B5EF4-FFF2-40B4-BE49-F238E27FC236}">
              <a16:creationId xmlns:a16="http://schemas.microsoft.com/office/drawing/2014/main" id="{CD70C9FF-DA9E-CA8A-4FF6-541929D1C9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426720</xdr:colOff>
      <xdr:row>34</xdr:row>
      <xdr:rowOff>99050</xdr:rowOff>
    </xdr:from>
    <xdr:to>
      <xdr:col>8</xdr:col>
      <xdr:colOff>121920</xdr:colOff>
      <xdr:row>47</xdr:row>
      <xdr:rowOff>114290</xdr:rowOff>
    </xdr:to>
    <xdr:graphicFrame macro="">
      <xdr:nvGraphicFramePr>
        <xdr:cNvPr id="7" name="Chart 6">
          <a:extLst>
            <a:ext uri="{FF2B5EF4-FFF2-40B4-BE49-F238E27FC236}">
              <a16:creationId xmlns:a16="http://schemas.microsoft.com/office/drawing/2014/main" id="{5124A5E6-8351-4B03-8F68-F8B87865B7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130011</xdr:colOff>
      <xdr:row>34</xdr:row>
      <xdr:rowOff>97146</xdr:rowOff>
    </xdr:from>
    <xdr:to>
      <xdr:col>15</xdr:col>
      <xdr:colOff>434811</xdr:colOff>
      <xdr:row>47</xdr:row>
      <xdr:rowOff>104766</xdr:rowOff>
    </xdr:to>
    <xdr:graphicFrame macro="">
      <xdr:nvGraphicFramePr>
        <xdr:cNvPr id="8" name="Chart 7">
          <a:extLst>
            <a:ext uri="{FF2B5EF4-FFF2-40B4-BE49-F238E27FC236}">
              <a16:creationId xmlns:a16="http://schemas.microsoft.com/office/drawing/2014/main" id="{3A2FEB93-9C58-4B80-97FA-E75BCE5CF7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447670</xdr:colOff>
      <xdr:row>34</xdr:row>
      <xdr:rowOff>87625</xdr:rowOff>
    </xdr:from>
    <xdr:to>
      <xdr:col>23</xdr:col>
      <xdr:colOff>142870</xdr:colOff>
      <xdr:row>47</xdr:row>
      <xdr:rowOff>93340</xdr:rowOff>
    </xdr:to>
    <xdr:graphicFrame macro="">
      <xdr:nvGraphicFramePr>
        <xdr:cNvPr id="9" name="Chart 8">
          <a:extLst>
            <a:ext uri="{FF2B5EF4-FFF2-40B4-BE49-F238E27FC236}">
              <a16:creationId xmlns:a16="http://schemas.microsoft.com/office/drawing/2014/main" id="{F01DB585-EC1F-459C-A388-90D9BE9FBC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468154</xdr:colOff>
      <xdr:row>4</xdr:row>
      <xdr:rowOff>110490</xdr:rowOff>
    </xdr:from>
    <xdr:to>
      <xdr:col>8</xdr:col>
      <xdr:colOff>163354</xdr:colOff>
      <xdr:row>19</xdr:row>
      <xdr:rowOff>47625</xdr:rowOff>
    </xdr:to>
    <xdr:graphicFrame macro="">
      <xdr:nvGraphicFramePr>
        <xdr:cNvPr id="10" name="Chart 9">
          <a:extLst>
            <a:ext uri="{FF2B5EF4-FFF2-40B4-BE49-F238E27FC236}">
              <a16:creationId xmlns:a16="http://schemas.microsoft.com/office/drawing/2014/main" id="{C734B44E-7370-D630-D7C8-C3213493AF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144780</xdr:colOff>
      <xdr:row>4</xdr:row>
      <xdr:rowOff>116205</xdr:rowOff>
    </xdr:from>
    <xdr:to>
      <xdr:col>15</xdr:col>
      <xdr:colOff>449580</xdr:colOff>
      <xdr:row>19</xdr:row>
      <xdr:rowOff>53340</xdr:rowOff>
    </xdr:to>
    <xdr:graphicFrame macro="">
      <xdr:nvGraphicFramePr>
        <xdr:cNvPr id="11" name="Chart 10">
          <a:extLst>
            <a:ext uri="{FF2B5EF4-FFF2-40B4-BE49-F238E27FC236}">
              <a16:creationId xmlns:a16="http://schemas.microsoft.com/office/drawing/2014/main" id="{38954E51-8E10-4B1B-AC60-6850F5E9B4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LEED v5 Theme">
  <a:themeElements>
    <a:clrScheme name="LEED v5 colors">
      <a:dk1>
        <a:srgbClr val="684659"/>
      </a:dk1>
      <a:lt1>
        <a:srgbClr val="FFFFFF"/>
      </a:lt1>
      <a:dk2>
        <a:srgbClr val="004961"/>
      </a:dk2>
      <a:lt2>
        <a:srgbClr val="7E8AA2"/>
      </a:lt2>
      <a:accent1>
        <a:srgbClr val="952713"/>
      </a:accent1>
      <a:accent2>
        <a:srgbClr val="B87400"/>
      </a:accent2>
      <a:accent3>
        <a:srgbClr val="536426"/>
      </a:accent3>
      <a:accent4>
        <a:srgbClr val="006570"/>
      </a:accent4>
      <a:accent5>
        <a:srgbClr val="C75127"/>
      </a:accent5>
      <a:accent6>
        <a:srgbClr val="7C4901"/>
      </a:accent6>
      <a:hlink>
        <a:srgbClr val="004861"/>
      </a:hlink>
      <a:folHlink>
        <a:srgbClr val="674659"/>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extLst>
    <a:ext uri="{05A4C25C-085E-4340-85A3-A5531E510DB2}">
      <thm15:themeFamily xmlns:thm15="http://schemas.microsoft.com/office/thememl/2012/main" name="LEED v5 Theme" id="{3381DE98-6E31-B54A-9888-C91E91952C3A}" vid="{D09A2C7D-7B63-C847-94C9-701BC5BCA447}"/>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199BF-CD5D-4FE4-92E2-BC85E4F50C73}">
  <dimension ref="A2:L18"/>
  <sheetViews>
    <sheetView tabSelected="1" workbookViewId="0">
      <selection activeCell="B2" sqref="B2:K2"/>
    </sheetView>
  </sheetViews>
  <sheetFormatPr defaultRowHeight="14.4" x14ac:dyDescent="0.3"/>
  <cols>
    <col min="1" max="2" width="8.88671875" style="3"/>
    <col min="3" max="4" width="13.33203125" style="3" customWidth="1"/>
    <col min="5" max="16384" width="8.88671875" style="3"/>
  </cols>
  <sheetData>
    <row r="2" spans="1:12" ht="75" customHeight="1" x14ac:dyDescent="0.3">
      <c r="B2" s="268" t="s">
        <v>152</v>
      </c>
      <c r="C2" s="269"/>
      <c r="D2" s="269"/>
      <c r="E2" s="269"/>
      <c r="F2" s="269"/>
      <c r="G2" s="269"/>
      <c r="H2" s="269"/>
      <c r="I2" s="269"/>
      <c r="J2" s="269"/>
      <c r="K2" s="270"/>
    </row>
    <row r="3" spans="1:12" ht="34.799999999999997" customHeight="1" x14ac:dyDescent="0.3">
      <c r="B3" s="104"/>
      <c r="C3" s="271" t="s">
        <v>153</v>
      </c>
      <c r="D3" s="271"/>
      <c r="E3" s="178"/>
      <c r="F3" s="272" t="s">
        <v>162</v>
      </c>
      <c r="G3" s="272"/>
      <c r="H3" s="272"/>
      <c r="I3" s="272"/>
      <c r="J3" s="272"/>
      <c r="K3" s="273"/>
      <c r="L3" s="105"/>
    </row>
    <row r="4" spans="1:12" ht="34.799999999999997" customHeight="1" x14ac:dyDescent="0.3">
      <c r="B4" s="106"/>
      <c r="C4" s="265" t="s">
        <v>154</v>
      </c>
      <c r="D4" s="265"/>
      <c r="E4" s="179"/>
      <c r="F4" s="266" t="s">
        <v>163</v>
      </c>
      <c r="G4" s="266"/>
      <c r="H4" s="266"/>
      <c r="I4" s="266"/>
      <c r="J4" s="266"/>
      <c r="K4" s="267"/>
      <c r="L4" s="105"/>
    </row>
    <row r="5" spans="1:12" ht="34.799999999999997" customHeight="1" x14ac:dyDescent="0.3">
      <c r="B5" s="106"/>
      <c r="C5" s="265" t="s">
        <v>0</v>
      </c>
      <c r="D5" s="265"/>
      <c r="E5" s="179"/>
      <c r="F5" s="266" t="s">
        <v>164</v>
      </c>
      <c r="G5" s="266"/>
      <c r="H5" s="266"/>
      <c r="I5" s="266"/>
      <c r="J5" s="266"/>
      <c r="K5" s="267"/>
      <c r="L5" s="105"/>
    </row>
    <row r="6" spans="1:12" ht="21.6" customHeight="1" x14ac:dyDescent="0.3">
      <c r="B6" s="106"/>
      <c r="C6" s="171"/>
      <c r="D6" s="171"/>
      <c r="E6" s="171"/>
      <c r="F6" s="171"/>
      <c r="G6" s="171"/>
      <c r="H6" s="171"/>
      <c r="I6" s="171"/>
      <c r="J6" s="171"/>
      <c r="K6" s="172"/>
      <c r="L6" s="105"/>
    </row>
    <row r="7" spans="1:12" x14ac:dyDescent="0.3">
      <c r="B7" s="107"/>
      <c r="C7" s="263" t="s">
        <v>1</v>
      </c>
      <c r="D7" s="263"/>
      <c r="E7" s="263"/>
      <c r="F7" s="263"/>
      <c r="G7" s="263"/>
      <c r="H7" s="263"/>
      <c r="I7" s="263"/>
      <c r="J7" s="263"/>
      <c r="K7" s="264"/>
      <c r="L7" s="105"/>
    </row>
    <row r="8" spans="1:12" x14ac:dyDescent="0.3">
      <c r="B8" s="106"/>
      <c r="C8" s="261" t="s">
        <v>155</v>
      </c>
      <c r="D8" s="261"/>
      <c r="E8" s="261"/>
      <c r="F8" s="261"/>
      <c r="G8" s="261"/>
      <c r="H8" s="261"/>
      <c r="I8" s="261"/>
      <c r="J8" s="261"/>
      <c r="K8" s="262"/>
      <c r="L8" s="105"/>
    </row>
    <row r="9" spans="1:12" ht="28.2" customHeight="1" x14ac:dyDescent="0.3">
      <c r="B9" s="106"/>
      <c r="C9" s="261" t="s">
        <v>2</v>
      </c>
      <c r="D9" s="261"/>
      <c r="E9" s="261"/>
      <c r="F9" s="261"/>
      <c r="G9" s="261"/>
      <c r="H9" s="261"/>
      <c r="I9" s="261"/>
      <c r="J9" s="261"/>
      <c r="K9" s="262"/>
      <c r="L9" s="105"/>
    </row>
    <row r="10" spans="1:12" ht="21" customHeight="1" x14ac:dyDescent="0.3">
      <c r="B10" s="106"/>
      <c r="C10" s="173"/>
      <c r="D10" s="261" t="s">
        <v>165</v>
      </c>
      <c r="E10" s="261"/>
      <c r="F10" s="261"/>
      <c r="G10" s="261"/>
      <c r="H10" s="261"/>
      <c r="I10" s="261"/>
      <c r="J10" s="261"/>
      <c r="K10" s="262"/>
      <c r="L10" s="105"/>
    </row>
    <row r="11" spans="1:12" ht="21" customHeight="1" x14ac:dyDescent="0.3">
      <c r="B11" s="106"/>
      <c r="C11" s="173"/>
      <c r="D11" s="261" t="s">
        <v>166</v>
      </c>
      <c r="E11" s="261"/>
      <c r="F11" s="261"/>
      <c r="G11" s="261"/>
      <c r="H11" s="261"/>
      <c r="I11" s="261"/>
      <c r="J11" s="261"/>
      <c r="K11" s="262"/>
      <c r="L11" s="105"/>
    </row>
    <row r="12" spans="1:12" ht="21" customHeight="1" x14ac:dyDescent="0.3">
      <c r="B12" s="107"/>
      <c r="C12" s="173"/>
      <c r="D12" s="261" t="s">
        <v>167</v>
      </c>
      <c r="E12" s="261"/>
      <c r="F12" s="261"/>
      <c r="G12" s="261"/>
      <c r="H12" s="261"/>
      <c r="I12" s="261"/>
      <c r="J12" s="261"/>
      <c r="K12" s="262"/>
      <c r="L12" s="105"/>
    </row>
    <row r="13" spans="1:12" ht="33" customHeight="1" x14ac:dyDescent="0.3">
      <c r="B13" s="107"/>
      <c r="C13" s="261" t="s">
        <v>85</v>
      </c>
      <c r="D13" s="261"/>
      <c r="E13" s="261"/>
      <c r="F13" s="261"/>
      <c r="G13" s="261"/>
      <c r="H13" s="261"/>
      <c r="I13" s="261"/>
      <c r="J13" s="261"/>
      <c r="K13" s="262"/>
      <c r="L13" s="105"/>
    </row>
    <row r="14" spans="1:12" ht="33" customHeight="1" x14ac:dyDescent="0.3">
      <c r="B14" s="107"/>
      <c r="C14" s="261" t="s">
        <v>185</v>
      </c>
      <c r="D14" s="261"/>
      <c r="E14" s="261"/>
      <c r="F14" s="261"/>
      <c r="G14" s="261"/>
      <c r="H14" s="261"/>
      <c r="I14" s="261"/>
      <c r="J14" s="261"/>
      <c r="K14" s="262"/>
      <c r="L14" s="105"/>
    </row>
    <row r="15" spans="1:12" ht="28.8" customHeight="1" x14ac:dyDescent="0.3">
      <c r="B15" s="106"/>
      <c r="C15" s="261" t="s">
        <v>184</v>
      </c>
      <c r="D15" s="261"/>
      <c r="E15" s="261"/>
      <c r="F15" s="261"/>
      <c r="G15" s="261"/>
      <c r="H15" s="261"/>
      <c r="I15" s="261"/>
      <c r="J15" s="261"/>
      <c r="K15" s="262"/>
      <c r="L15" s="105"/>
    </row>
    <row r="16" spans="1:12" ht="45.6" customHeight="1" x14ac:dyDescent="0.3">
      <c r="A16" s="169"/>
      <c r="B16" s="106"/>
      <c r="C16" s="263" t="s">
        <v>3</v>
      </c>
      <c r="D16" s="263"/>
      <c r="E16" s="263"/>
      <c r="F16" s="263"/>
      <c r="G16" s="263"/>
      <c r="H16" s="263"/>
      <c r="I16" s="263"/>
      <c r="J16" s="263"/>
      <c r="K16" s="264"/>
      <c r="L16" s="170"/>
    </row>
    <row r="17" spans="1:12" ht="27.6" x14ac:dyDescent="0.3">
      <c r="A17" s="101"/>
      <c r="B17" s="108"/>
      <c r="C17" s="109"/>
      <c r="D17" s="109"/>
      <c r="E17" s="109"/>
      <c r="F17" s="109"/>
      <c r="G17" s="109"/>
      <c r="H17" s="109"/>
      <c r="I17" s="109"/>
      <c r="J17" s="109"/>
      <c r="K17" s="110"/>
      <c r="L17" s="102"/>
    </row>
    <row r="18" spans="1:12" x14ac:dyDescent="0.3">
      <c r="A18" s="37"/>
      <c r="B18" s="14"/>
      <c r="C18" s="14"/>
      <c r="D18" s="14"/>
      <c r="E18" s="14"/>
      <c r="F18" s="14"/>
      <c r="G18" s="14"/>
      <c r="H18" s="14"/>
      <c r="I18" s="14"/>
      <c r="J18" s="14"/>
      <c r="K18" s="14"/>
    </row>
  </sheetData>
  <sheetProtection algorithmName="SHA-512" hashValue="xfkdKVuYW/LFjmYEiGzyqN1vhrjSLg1q2p++OzI23VwjNlITybM7d5aoCEDJU49T75/zrIU17QH0tygqSH0xGQ==" saltValue="kGKkw1UsLv0pF6OYmpRVuA==" spinCount="100000" sheet="1" objects="1" scenarios="1"/>
  <mergeCells count="17">
    <mergeCell ref="C5:D5"/>
    <mergeCell ref="F5:K5"/>
    <mergeCell ref="B2:K2"/>
    <mergeCell ref="C3:D3"/>
    <mergeCell ref="F3:K3"/>
    <mergeCell ref="C4:D4"/>
    <mergeCell ref="F4:K4"/>
    <mergeCell ref="C13:K13"/>
    <mergeCell ref="C15:K15"/>
    <mergeCell ref="C16:K16"/>
    <mergeCell ref="C7:K7"/>
    <mergeCell ref="C8:K8"/>
    <mergeCell ref="C9:K9"/>
    <mergeCell ref="D10:K10"/>
    <mergeCell ref="D11:K11"/>
    <mergeCell ref="D12:K12"/>
    <mergeCell ref="C14:K14"/>
  </mergeCells>
  <pageMargins left="0.7" right="0.7" top="0.75" bottom="0.75" header="0.3" footer="0.3"/>
  <pageSetup scale="85" fitToWidth="0" fitToHeight="0" orientation="landscape" horizontalDpi="1200"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BAFB31-4889-472F-B488-F86F1443AEDF}">
  <sheetPr>
    <pageSetUpPr fitToPage="1"/>
  </sheetPr>
  <dimension ref="A1:AA88"/>
  <sheetViews>
    <sheetView zoomScale="80" zoomScaleNormal="80" workbookViewId="0">
      <pane ySplit="8" topLeftCell="A9" activePane="bottomLeft" state="frozen"/>
      <selection pane="bottomLeft"/>
    </sheetView>
  </sheetViews>
  <sheetFormatPr defaultColWidth="9.109375" defaultRowHeight="13.8" x14ac:dyDescent="0.25"/>
  <cols>
    <col min="1" max="3" width="10" style="13" customWidth="1"/>
    <col min="4" max="4" width="1" style="13" customWidth="1"/>
    <col min="5" max="5" width="5.33203125" style="1" customWidth="1"/>
    <col min="6" max="6" width="3.44140625" style="1" customWidth="1"/>
    <col min="7" max="7" width="13.77734375" style="1" customWidth="1"/>
    <col min="8" max="8" width="47.88671875" style="1" customWidth="1"/>
    <col min="9" max="10" width="12.44140625" style="1" customWidth="1"/>
    <col min="11" max="11" width="3.33203125" style="192" customWidth="1"/>
    <col min="12" max="12" width="22.109375" style="69" customWidth="1"/>
    <col min="13" max="13" width="18.77734375" style="113" customWidth="1"/>
    <col min="14" max="14" width="9.109375" style="1" customWidth="1"/>
    <col min="15" max="15" width="16" style="1" customWidth="1"/>
    <col min="16" max="16" width="5.33203125" style="1" customWidth="1"/>
    <col min="17" max="16384" width="9.109375" style="1"/>
  </cols>
  <sheetData>
    <row r="1" spans="1:21" ht="25.2" customHeight="1" x14ac:dyDescent="0.25">
      <c r="D1" s="30"/>
      <c r="E1" s="31"/>
      <c r="F1" s="32"/>
      <c r="G1" s="33"/>
      <c r="H1" s="33"/>
      <c r="I1" s="2"/>
      <c r="K1" s="214"/>
      <c r="L1" s="245" t="s">
        <v>22</v>
      </c>
      <c r="M1" s="246"/>
      <c r="N1" s="247"/>
      <c r="O1" s="244"/>
      <c r="S1" s="39"/>
    </row>
    <row r="2" spans="1:21" ht="25.2" customHeight="1" x14ac:dyDescent="0.25">
      <c r="A2" s="34" t="s">
        <v>156</v>
      </c>
      <c r="B2" s="34"/>
      <c r="D2" s="30"/>
      <c r="F2" s="35"/>
      <c r="G2" s="35"/>
      <c r="H2" s="35"/>
      <c r="I2" s="36"/>
      <c r="K2" s="214"/>
      <c r="L2" s="227" t="s">
        <v>5</v>
      </c>
      <c r="M2" s="66">
        <f>A84</f>
        <v>0</v>
      </c>
      <c r="N2" s="228" t="s">
        <v>9</v>
      </c>
      <c r="O2" s="39"/>
      <c r="P2" s="117" t="s">
        <v>29</v>
      </c>
      <c r="Q2" s="115"/>
      <c r="R2" s="115"/>
    </row>
    <row r="3" spans="1:21" ht="13.95" customHeight="1" x14ac:dyDescent="0.25">
      <c r="A3" s="37" t="s">
        <v>23</v>
      </c>
      <c r="B3" s="37"/>
      <c r="D3" s="38"/>
      <c r="I3" s="39"/>
      <c r="K3" s="214"/>
      <c r="L3" s="46" t="s">
        <v>6</v>
      </c>
      <c r="M3" s="47">
        <f>B84</f>
        <v>0</v>
      </c>
      <c r="N3" s="48" t="s">
        <v>9</v>
      </c>
      <c r="O3" s="39"/>
      <c r="P3" s="286" t="s">
        <v>32</v>
      </c>
      <c r="Q3" s="286"/>
      <c r="R3" s="286"/>
    </row>
    <row r="4" spans="1:21" ht="13.95" customHeight="1" x14ac:dyDescent="0.25">
      <c r="A4" s="68"/>
      <c r="B4" s="68"/>
      <c r="C4" s="68"/>
      <c r="D4" s="68"/>
      <c r="E4" s="68"/>
      <c r="F4" s="68"/>
      <c r="G4" s="68"/>
      <c r="H4" s="68"/>
      <c r="I4" s="68"/>
      <c r="J4" s="68"/>
      <c r="K4" s="214"/>
      <c r="L4" s="46" t="s">
        <v>7</v>
      </c>
      <c r="M4" s="47">
        <f>C84</f>
        <v>0</v>
      </c>
      <c r="N4" s="48" t="s">
        <v>9</v>
      </c>
      <c r="O4" s="39"/>
      <c r="P4" s="287" t="s">
        <v>34</v>
      </c>
      <c r="Q4" s="287"/>
      <c r="R4" s="287"/>
    </row>
    <row r="5" spans="1:21" ht="13.95" customHeight="1" x14ac:dyDescent="0.25">
      <c r="A5" s="68"/>
      <c r="B5" s="68"/>
      <c r="C5" s="68"/>
      <c r="D5" s="68"/>
      <c r="E5" s="68"/>
      <c r="F5" s="68"/>
      <c r="G5" s="68"/>
      <c r="H5" s="68"/>
      <c r="I5" s="68"/>
      <c r="J5" s="68"/>
      <c r="K5" s="214"/>
      <c r="L5" s="248"/>
      <c r="N5" s="249"/>
      <c r="O5" s="39"/>
    </row>
    <row r="6" spans="1:21" ht="13.95" customHeight="1" x14ac:dyDescent="0.25">
      <c r="A6" s="1"/>
      <c r="B6" s="1"/>
      <c r="C6" s="1"/>
      <c r="D6" s="1"/>
      <c r="I6" s="322" t="s">
        <v>12</v>
      </c>
      <c r="J6" s="322" t="s">
        <v>161</v>
      </c>
      <c r="K6" s="214"/>
      <c r="L6" s="46" t="s">
        <v>161</v>
      </c>
      <c r="M6" s="196">
        <f>J84</f>
        <v>0</v>
      </c>
      <c r="N6" s="48" t="s">
        <v>9</v>
      </c>
      <c r="O6" s="39"/>
    </row>
    <row r="7" spans="1:21" ht="13.95" customHeight="1" x14ac:dyDescent="0.25">
      <c r="A7" s="1"/>
      <c r="B7" s="1"/>
      <c r="C7" s="1"/>
      <c r="D7" s="1"/>
      <c r="I7" s="323"/>
      <c r="J7" s="323"/>
      <c r="K7" s="214"/>
      <c r="L7" s="50" t="s">
        <v>12</v>
      </c>
      <c r="M7" s="197">
        <f>I84</f>
        <v>110</v>
      </c>
      <c r="N7" s="51" t="s">
        <v>9</v>
      </c>
      <c r="O7" s="39"/>
    </row>
    <row r="8" spans="1:21" ht="23.4" customHeight="1" x14ac:dyDescent="0.3">
      <c r="A8" s="243" t="s">
        <v>5</v>
      </c>
      <c r="B8" s="243" t="s">
        <v>6</v>
      </c>
      <c r="C8" s="243" t="s">
        <v>7</v>
      </c>
      <c r="D8" s="38"/>
      <c r="E8" s="13"/>
      <c r="F8" s="13"/>
      <c r="G8" s="13"/>
      <c r="H8" s="13"/>
      <c r="I8" s="324"/>
      <c r="J8" s="324"/>
      <c r="L8" s="242" t="s">
        <v>24</v>
      </c>
      <c r="M8" s="325" t="s">
        <v>25</v>
      </c>
      <c r="N8" s="326"/>
      <c r="O8" s="327"/>
      <c r="U8"/>
    </row>
    <row r="9" spans="1:21" ht="21" customHeight="1" x14ac:dyDescent="0.25">
      <c r="A9" s="40"/>
      <c r="B9" s="40"/>
      <c r="C9" s="40"/>
      <c r="D9" s="41"/>
      <c r="E9" s="288" t="s">
        <v>13</v>
      </c>
      <c r="F9" s="288"/>
      <c r="G9" s="288"/>
      <c r="H9" s="289"/>
      <c r="I9" s="42">
        <f>SUM(I14:I15)</f>
        <v>7</v>
      </c>
      <c r="J9" s="42">
        <f>SUM(J14:J15)</f>
        <v>0</v>
      </c>
      <c r="L9" s="112"/>
      <c r="M9" s="114"/>
      <c r="N9" s="43"/>
    </row>
    <row r="10" spans="1:21" ht="19.2" customHeight="1" x14ac:dyDescent="0.25">
      <c r="A10" s="111" t="b">
        <v>0</v>
      </c>
      <c r="B10" s="111" t="b">
        <v>0</v>
      </c>
      <c r="C10" s="111" t="b">
        <v>0</v>
      </c>
      <c r="D10" s="99"/>
      <c r="E10" s="204" t="s">
        <v>26</v>
      </c>
      <c r="F10" s="275" t="s">
        <v>27</v>
      </c>
      <c r="G10" s="275"/>
      <c r="H10" s="275"/>
      <c r="I10" s="276" t="s">
        <v>28</v>
      </c>
      <c r="J10" s="277"/>
      <c r="K10" s="214"/>
      <c r="L10" s="189"/>
      <c r="M10" s="274"/>
      <c r="N10" s="274"/>
      <c r="O10" s="274"/>
      <c r="R10" s="86"/>
    </row>
    <row r="11" spans="1:21" ht="19.2" customHeight="1" x14ac:dyDescent="0.25">
      <c r="A11" s="111" t="b">
        <v>0</v>
      </c>
      <c r="B11" s="111" t="b">
        <v>0</v>
      </c>
      <c r="C11" s="111" t="b">
        <v>0</v>
      </c>
      <c r="D11" s="99"/>
      <c r="E11" s="204" t="s">
        <v>30</v>
      </c>
      <c r="F11" s="275" t="s">
        <v>31</v>
      </c>
      <c r="G11" s="275"/>
      <c r="H11" s="275"/>
      <c r="I11" s="276" t="s">
        <v>28</v>
      </c>
      <c r="J11" s="277" t="s">
        <v>28</v>
      </c>
      <c r="L11" s="189"/>
      <c r="M11" s="274"/>
      <c r="N11" s="274"/>
      <c r="O11" s="274"/>
      <c r="R11" s="57"/>
    </row>
    <row r="12" spans="1:21" ht="19.2" customHeight="1" x14ac:dyDescent="0.25">
      <c r="A12" s="111" t="b">
        <v>0</v>
      </c>
      <c r="B12" s="111" t="b">
        <v>0</v>
      </c>
      <c r="C12" s="111" t="b">
        <v>0</v>
      </c>
      <c r="D12" s="99"/>
      <c r="E12" s="230" t="s">
        <v>33</v>
      </c>
      <c r="F12" s="275" t="s">
        <v>86</v>
      </c>
      <c r="G12" s="275"/>
      <c r="H12" s="275"/>
      <c r="I12" s="276" t="s">
        <v>28</v>
      </c>
      <c r="J12" s="277" t="s">
        <v>28</v>
      </c>
      <c r="L12" s="189"/>
      <c r="M12" s="274"/>
      <c r="N12" s="274"/>
      <c r="O12" s="274"/>
      <c r="R12" s="68"/>
      <c r="S12" s="39"/>
    </row>
    <row r="13" spans="1:21" ht="19.2" customHeight="1" x14ac:dyDescent="0.25">
      <c r="A13" s="111" t="b">
        <v>0</v>
      </c>
      <c r="B13" s="111" t="b">
        <v>0</v>
      </c>
      <c r="C13" s="111" t="b">
        <v>0</v>
      </c>
      <c r="D13" s="99"/>
      <c r="E13" s="204" t="s">
        <v>157</v>
      </c>
      <c r="F13" s="275" t="s">
        <v>159</v>
      </c>
      <c r="G13" s="275"/>
      <c r="H13" s="275"/>
      <c r="I13" s="276" t="s">
        <v>28</v>
      </c>
      <c r="J13" s="277" t="s">
        <v>28</v>
      </c>
      <c r="K13" s="215"/>
      <c r="L13" s="189"/>
      <c r="M13" s="274"/>
      <c r="N13" s="274"/>
      <c r="O13" s="274"/>
      <c r="P13" s="119"/>
      <c r="Q13" s="119"/>
      <c r="R13" s="120"/>
      <c r="S13" s="39"/>
    </row>
    <row r="14" spans="1:21" ht="19.2" customHeight="1" x14ac:dyDescent="0.25">
      <c r="A14" s="100">
        <v>0</v>
      </c>
      <c r="B14" s="100">
        <v>0</v>
      </c>
      <c r="C14" s="100">
        <v>0</v>
      </c>
      <c r="D14" s="49"/>
      <c r="E14" s="231" t="s">
        <v>35</v>
      </c>
      <c r="F14" s="290" t="s">
        <v>87</v>
      </c>
      <c r="G14" s="291"/>
      <c r="H14" s="292"/>
      <c r="I14" s="47">
        <v>1</v>
      </c>
      <c r="J14" s="196">
        <f>SUM(A14:B14)</f>
        <v>0</v>
      </c>
      <c r="K14" s="215" t="str">
        <f>IF(J14&gt;I14,"⚠","")</f>
        <v/>
      </c>
      <c r="L14" s="189"/>
      <c r="M14" s="274"/>
      <c r="N14" s="274"/>
      <c r="O14" s="274"/>
      <c r="P14" s="69"/>
      <c r="Q14" s="69"/>
      <c r="R14" s="69"/>
      <c r="S14" s="39"/>
    </row>
    <row r="15" spans="1:21" ht="19.2" customHeight="1" x14ac:dyDescent="0.25">
      <c r="A15" s="100">
        <v>0</v>
      </c>
      <c r="B15" s="100">
        <v>0</v>
      </c>
      <c r="C15" s="100">
        <v>0</v>
      </c>
      <c r="D15" s="49"/>
      <c r="E15" s="205" t="s">
        <v>158</v>
      </c>
      <c r="F15" s="290" t="s">
        <v>160</v>
      </c>
      <c r="G15" s="291"/>
      <c r="H15" s="292"/>
      <c r="I15" s="47">
        <v>6</v>
      </c>
      <c r="J15" s="196">
        <f>SUM(A15:B15)</f>
        <v>0</v>
      </c>
      <c r="K15" s="215" t="str">
        <f t="shared" ref="K15" si="0">IF(J15&gt;I15,"⚠","")</f>
        <v/>
      </c>
      <c r="L15" s="189"/>
      <c r="M15" s="274"/>
      <c r="N15" s="274"/>
      <c r="O15" s="274"/>
      <c r="P15" s="69"/>
      <c r="Q15" s="69"/>
      <c r="R15" s="69"/>
      <c r="S15" s="39"/>
    </row>
    <row r="16" spans="1:21" s="57" customFormat="1" ht="19.2" customHeight="1" x14ac:dyDescent="0.25">
      <c r="A16" s="52"/>
      <c r="B16" s="52"/>
      <c r="C16" s="52"/>
      <c r="D16" s="53"/>
      <c r="E16" s="54"/>
      <c r="F16" s="55"/>
      <c r="G16" s="55"/>
      <c r="H16" s="55"/>
      <c r="I16" s="56"/>
      <c r="J16" s="56"/>
      <c r="N16" s="69"/>
      <c r="O16" s="69"/>
      <c r="P16" s="58"/>
      <c r="Q16" s="58"/>
      <c r="R16" s="59"/>
    </row>
    <row r="17" spans="1:27" s="63" customFormat="1" ht="19.2" customHeight="1" x14ac:dyDescent="0.25">
      <c r="A17" s="60"/>
      <c r="B17" s="60"/>
      <c r="C17" s="60"/>
      <c r="D17" s="61"/>
      <c r="E17" s="302" t="s">
        <v>14</v>
      </c>
      <c r="F17" s="302"/>
      <c r="G17" s="302"/>
      <c r="H17" s="303"/>
      <c r="I17" s="62">
        <f>SUM(I18:I22)</f>
        <v>15</v>
      </c>
      <c r="J17" s="62">
        <f>SUM(J18:J22)</f>
        <v>0</v>
      </c>
      <c r="N17" s="69"/>
      <c r="O17" s="69"/>
      <c r="P17" s="69"/>
      <c r="Q17" s="69"/>
      <c r="R17" s="69"/>
      <c r="S17" s="69"/>
      <c r="T17" s="69"/>
      <c r="U17" s="69"/>
      <c r="V17" s="69"/>
      <c r="W17" s="69"/>
    </row>
    <row r="18" spans="1:27" s="3" customFormat="1" ht="19.2" customHeight="1" x14ac:dyDescent="0.3">
      <c r="A18" s="100">
        <v>0</v>
      </c>
      <c r="B18" s="100">
        <v>0</v>
      </c>
      <c r="C18" s="100">
        <v>0</v>
      </c>
      <c r="D18" s="49"/>
      <c r="E18" s="64" t="s">
        <v>36</v>
      </c>
      <c r="F18" s="295" t="s">
        <v>90</v>
      </c>
      <c r="G18" s="295"/>
      <c r="H18" s="295"/>
      <c r="I18" s="47">
        <v>1</v>
      </c>
      <c r="J18" s="196">
        <f>SUM(A18:B18)</f>
        <v>0</v>
      </c>
      <c r="K18" s="215" t="str">
        <f>IF(J18&gt;I18,"⚠","")</f>
        <v/>
      </c>
      <c r="L18" s="189"/>
      <c r="M18" s="274"/>
      <c r="N18" s="274"/>
      <c r="O18" s="274"/>
      <c r="P18" s="69"/>
      <c r="Q18" s="69"/>
      <c r="R18" s="69"/>
      <c r="S18" s="69"/>
      <c r="T18" s="69"/>
      <c r="U18" s="69"/>
      <c r="V18" s="69"/>
      <c r="W18" s="69"/>
      <c r="X18" s="69"/>
      <c r="Y18" s="69"/>
      <c r="Z18" s="69"/>
      <c r="AA18" s="69"/>
    </row>
    <row r="19" spans="1:27" s="3" customFormat="1" ht="19.2" customHeight="1" x14ac:dyDescent="0.3">
      <c r="A19" s="100">
        <v>0</v>
      </c>
      <c r="B19" s="100">
        <v>0</v>
      </c>
      <c r="C19" s="100">
        <v>0</v>
      </c>
      <c r="D19" s="49"/>
      <c r="E19" s="65" t="s">
        <v>37</v>
      </c>
      <c r="F19" s="290" t="s">
        <v>91</v>
      </c>
      <c r="G19" s="291"/>
      <c r="H19" s="292"/>
      <c r="I19" s="66">
        <v>2</v>
      </c>
      <c r="J19" s="196">
        <f>SUM(A19:B19)</f>
        <v>0</v>
      </c>
      <c r="K19" s="215" t="str">
        <f>IF(J19&gt;I19,"⚠","")</f>
        <v/>
      </c>
      <c r="L19" s="189"/>
      <c r="M19" s="274"/>
      <c r="N19" s="274"/>
      <c r="O19" s="274"/>
      <c r="P19" s="69"/>
      <c r="Q19" s="69"/>
      <c r="R19" s="69"/>
      <c r="S19" s="69"/>
      <c r="T19" s="69"/>
      <c r="U19" s="69"/>
      <c r="V19" s="69"/>
      <c r="W19" s="69"/>
      <c r="X19" s="69"/>
      <c r="Y19" s="69"/>
      <c r="Z19" s="69"/>
      <c r="AA19" s="69"/>
    </row>
    <row r="20" spans="1:27" s="3" customFormat="1" ht="19.2" customHeight="1" x14ac:dyDescent="0.3">
      <c r="A20" s="100">
        <v>0</v>
      </c>
      <c r="B20" s="100">
        <v>0</v>
      </c>
      <c r="C20" s="100">
        <v>0</v>
      </c>
      <c r="D20" s="49"/>
      <c r="E20" s="64" t="s">
        <v>39</v>
      </c>
      <c r="F20" s="278" t="s">
        <v>92</v>
      </c>
      <c r="G20" s="279"/>
      <c r="H20" s="280"/>
      <c r="I20" s="47">
        <v>6</v>
      </c>
      <c r="J20" s="196">
        <f>SUM(A20:B20)</f>
        <v>0</v>
      </c>
      <c r="K20" s="215" t="str">
        <f>IF(J20&gt;I20,"⚠","")</f>
        <v/>
      </c>
      <c r="L20" s="189"/>
      <c r="M20" s="274"/>
      <c r="N20" s="274"/>
      <c r="O20" s="274"/>
      <c r="P20" s="69"/>
      <c r="Q20" s="69"/>
      <c r="R20" s="69"/>
      <c r="S20" s="69"/>
      <c r="T20" s="69"/>
      <c r="U20" s="69"/>
      <c r="V20" s="69"/>
      <c r="W20" s="69"/>
      <c r="X20" s="69"/>
      <c r="Y20" s="69"/>
      <c r="Z20" s="69"/>
      <c r="AA20" s="69"/>
    </row>
    <row r="21" spans="1:27" s="59" customFormat="1" ht="19.2" customHeight="1" x14ac:dyDescent="0.25">
      <c r="A21" s="100">
        <v>0</v>
      </c>
      <c r="B21" s="100">
        <v>0</v>
      </c>
      <c r="C21" s="100">
        <v>0</v>
      </c>
      <c r="D21" s="49"/>
      <c r="E21" s="205" t="s">
        <v>88</v>
      </c>
      <c r="F21" s="278" t="s">
        <v>38</v>
      </c>
      <c r="G21" s="279"/>
      <c r="H21" s="280"/>
      <c r="I21" s="47">
        <v>4</v>
      </c>
      <c r="J21" s="196">
        <f t="shared" ref="J21:J22" si="1">SUM(A21:B21)</f>
        <v>0</v>
      </c>
      <c r="K21" s="215" t="str">
        <f>IF(J21&gt;I21,"⚠","")</f>
        <v/>
      </c>
      <c r="L21" s="189"/>
      <c r="M21" s="274"/>
      <c r="N21" s="274"/>
      <c r="O21" s="274"/>
      <c r="P21" s="69"/>
      <c r="Q21" s="69"/>
      <c r="R21" s="69"/>
      <c r="S21" s="69"/>
      <c r="T21" s="69"/>
      <c r="U21" s="69"/>
      <c r="V21" s="69"/>
      <c r="W21" s="69"/>
      <c r="X21" s="69"/>
      <c r="Y21" s="69"/>
      <c r="Z21" s="69"/>
      <c r="AA21" s="69"/>
    </row>
    <row r="22" spans="1:27" ht="19.2" customHeight="1" x14ac:dyDescent="0.25">
      <c r="A22" s="100">
        <v>0</v>
      </c>
      <c r="B22" s="100">
        <v>0</v>
      </c>
      <c r="C22" s="100">
        <v>0</v>
      </c>
      <c r="D22" s="49"/>
      <c r="E22" s="205" t="s">
        <v>89</v>
      </c>
      <c r="F22" s="278" t="s">
        <v>40</v>
      </c>
      <c r="G22" s="279"/>
      <c r="H22" s="280"/>
      <c r="I22" s="47">
        <v>2</v>
      </c>
      <c r="J22" s="196">
        <f t="shared" si="1"/>
        <v>0</v>
      </c>
      <c r="K22" s="215" t="str">
        <f>IF(J22&gt;I22,"⚠","")</f>
        <v/>
      </c>
      <c r="L22" s="189"/>
      <c r="M22" s="274"/>
      <c r="N22" s="274"/>
      <c r="O22" s="274"/>
      <c r="P22" s="69"/>
      <c r="Q22" s="69"/>
      <c r="R22" s="69"/>
      <c r="S22" s="69"/>
      <c r="T22" s="69"/>
      <c r="U22" s="69"/>
      <c r="V22" s="69"/>
      <c r="W22" s="69"/>
      <c r="X22" s="69"/>
      <c r="Y22" s="69"/>
      <c r="Z22" s="69"/>
      <c r="AA22" s="69"/>
    </row>
    <row r="23" spans="1:27" ht="19.2" customHeight="1" x14ac:dyDescent="0.25">
      <c r="A23" s="67"/>
      <c r="B23" s="67"/>
      <c r="C23" s="67"/>
      <c r="D23" s="49"/>
      <c r="E23" s="64"/>
      <c r="F23" s="296"/>
      <c r="G23" s="296"/>
      <c r="H23" s="296"/>
      <c r="I23" s="47"/>
      <c r="L23" s="192"/>
      <c r="M23" s="193"/>
      <c r="N23" s="69"/>
      <c r="O23" s="69"/>
      <c r="P23" s="69"/>
      <c r="Q23" s="69"/>
      <c r="R23" s="69"/>
      <c r="S23" s="69"/>
      <c r="T23" s="69"/>
      <c r="U23" s="69"/>
      <c r="V23" s="69"/>
      <c r="W23" s="69"/>
      <c r="X23" s="69"/>
      <c r="Y23" s="69"/>
      <c r="Z23" s="69"/>
      <c r="AA23" s="69"/>
    </row>
    <row r="24" spans="1:27" s="68" customFormat="1" ht="19.2" customHeight="1" x14ac:dyDescent="0.25">
      <c r="A24" s="60"/>
      <c r="B24" s="60"/>
      <c r="C24" s="60"/>
      <c r="D24" s="61"/>
      <c r="E24" s="304" t="s">
        <v>15</v>
      </c>
      <c r="F24" s="304"/>
      <c r="G24" s="304"/>
      <c r="H24" s="305"/>
      <c r="I24" s="198">
        <f>SUM(I26:I31)</f>
        <v>11</v>
      </c>
      <c r="J24" s="198">
        <f>SUM(J26:J31)</f>
        <v>0</v>
      </c>
      <c r="K24" s="192"/>
      <c r="L24" s="192"/>
      <c r="M24" s="193"/>
      <c r="N24" s="69"/>
      <c r="O24" s="69"/>
      <c r="P24" s="69"/>
      <c r="Q24" s="69"/>
      <c r="R24" s="69"/>
      <c r="S24" s="69"/>
      <c r="T24" s="69"/>
      <c r="U24" s="69"/>
      <c r="V24" s="69"/>
      <c r="W24" s="69"/>
      <c r="X24" s="69"/>
      <c r="Y24" s="69"/>
      <c r="Z24" s="69"/>
      <c r="AA24" s="69"/>
    </row>
    <row r="25" spans="1:27" s="68" customFormat="1" ht="19.2" customHeight="1" x14ac:dyDescent="0.25">
      <c r="A25" s="111" t="b">
        <v>0</v>
      </c>
      <c r="B25" s="111" t="b">
        <v>0</v>
      </c>
      <c r="C25" s="111" t="b">
        <v>0</v>
      </c>
      <c r="D25" s="99"/>
      <c r="E25" s="204" t="s">
        <v>93</v>
      </c>
      <c r="F25" s="275" t="s">
        <v>98</v>
      </c>
      <c r="G25" s="275"/>
      <c r="H25" s="275"/>
      <c r="I25" s="276" t="s">
        <v>28</v>
      </c>
      <c r="J25" s="277" t="s">
        <v>28</v>
      </c>
      <c r="K25" s="215"/>
      <c r="L25" s="189"/>
      <c r="M25" s="274"/>
      <c r="N25" s="274"/>
      <c r="O25" s="274"/>
      <c r="P25" s="69"/>
      <c r="Q25" s="69"/>
      <c r="R25" s="69"/>
      <c r="S25" s="69"/>
      <c r="T25" s="69"/>
      <c r="U25" s="69"/>
      <c r="V25" s="69"/>
      <c r="W25" s="69"/>
      <c r="X25" s="69"/>
      <c r="Y25" s="69"/>
      <c r="Z25" s="69"/>
      <c r="AA25" s="69"/>
    </row>
    <row r="26" spans="1:27" s="68" customFormat="1" ht="19.2" customHeight="1" x14ac:dyDescent="0.25">
      <c r="A26" s="100">
        <v>0</v>
      </c>
      <c r="B26" s="100">
        <v>0</v>
      </c>
      <c r="C26" s="100">
        <v>0</v>
      </c>
      <c r="D26" s="49"/>
      <c r="E26" s="64" t="s">
        <v>41</v>
      </c>
      <c r="F26" s="296" t="s">
        <v>99</v>
      </c>
      <c r="G26" s="296"/>
      <c r="H26" s="296"/>
      <c r="I26" s="47">
        <v>2</v>
      </c>
      <c r="J26" s="196">
        <f>SUM(A26:B26)</f>
        <v>0</v>
      </c>
      <c r="K26" s="215" t="str">
        <f t="shared" ref="K26:K31" si="2">IF(J26&gt;I26,"⚠","")</f>
        <v/>
      </c>
      <c r="L26" s="189"/>
      <c r="M26" s="274"/>
      <c r="N26" s="274"/>
      <c r="O26" s="274"/>
      <c r="P26" s="69"/>
      <c r="Q26" s="69"/>
      <c r="R26" s="69"/>
      <c r="S26" s="69"/>
      <c r="T26" s="69"/>
      <c r="U26" s="69"/>
      <c r="V26" s="69"/>
      <c r="W26" s="69"/>
      <c r="X26" s="69"/>
      <c r="Y26" s="69"/>
      <c r="Z26" s="69"/>
      <c r="AA26" s="69"/>
    </row>
    <row r="27" spans="1:27" s="68" customFormat="1" ht="19.2" customHeight="1" x14ac:dyDescent="0.25">
      <c r="A27" s="100">
        <v>0</v>
      </c>
      <c r="B27" s="100">
        <v>0</v>
      </c>
      <c r="C27" s="100">
        <v>0</v>
      </c>
      <c r="D27" s="49"/>
      <c r="E27" s="205" t="s">
        <v>43</v>
      </c>
      <c r="F27" s="296" t="s">
        <v>100</v>
      </c>
      <c r="G27" s="296"/>
      <c r="H27" s="296"/>
      <c r="I27" s="47">
        <v>1</v>
      </c>
      <c r="J27" s="196">
        <f t="shared" ref="J27:J31" si="3">SUM(A27:B27)</f>
        <v>0</v>
      </c>
      <c r="K27" s="215" t="str">
        <f t="shared" si="2"/>
        <v/>
      </c>
      <c r="L27" s="189"/>
      <c r="M27" s="274"/>
      <c r="N27" s="274"/>
      <c r="O27" s="274"/>
      <c r="P27" s="69"/>
      <c r="Q27" s="69"/>
      <c r="R27" s="69"/>
      <c r="S27" s="69"/>
      <c r="T27" s="69"/>
      <c r="U27" s="69"/>
      <c r="V27" s="69"/>
      <c r="W27" s="69"/>
      <c r="X27" s="69"/>
      <c r="Y27" s="69"/>
      <c r="Z27" s="69"/>
      <c r="AA27" s="69"/>
    </row>
    <row r="28" spans="1:27" s="68" customFormat="1" ht="19.2" customHeight="1" x14ac:dyDescent="0.25">
      <c r="A28" s="100">
        <v>0</v>
      </c>
      <c r="B28" s="100">
        <v>0</v>
      </c>
      <c r="C28" s="100">
        <v>0</v>
      </c>
      <c r="D28" s="49"/>
      <c r="E28" s="205" t="s">
        <v>94</v>
      </c>
      <c r="F28" s="296" t="s">
        <v>101</v>
      </c>
      <c r="G28" s="296"/>
      <c r="H28" s="296"/>
      <c r="I28" s="47">
        <v>3</v>
      </c>
      <c r="J28" s="196">
        <f t="shared" si="3"/>
        <v>0</v>
      </c>
      <c r="K28" s="215" t="str">
        <f t="shared" si="2"/>
        <v/>
      </c>
      <c r="L28" s="189"/>
      <c r="M28" s="274"/>
      <c r="N28" s="274"/>
      <c r="O28" s="274"/>
      <c r="P28" s="69"/>
      <c r="Q28" s="69"/>
      <c r="R28" s="69"/>
      <c r="S28" s="69"/>
      <c r="T28" s="69"/>
      <c r="U28" s="69"/>
      <c r="V28" s="69"/>
      <c r="W28" s="69"/>
      <c r="X28" s="69"/>
      <c r="Y28" s="69"/>
      <c r="Z28" s="69"/>
      <c r="AA28" s="69"/>
    </row>
    <row r="29" spans="1:27" s="68" customFormat="1" ht="19.2" customHeight="1" x14ac:dyDescent="0.25">
      <c r="A29" s="100">
        <v>0</v>
      </c>
      <c r="B29" s="100">
        <v>0</v>
      </c>
      <c r="C29" s="100">
        <v>0</v>
      </c>
      <c r="D29" s="49"/>
      <c r="E29" s="205" t="s">
        <v>95</v>
      </c>
      <c r="F29" s="296" t="s">
        <v>102</v>
      </c>
      <c r="G29" s="296"/>
      <c r="H29" s="296"/>
      <c r="I29" s="47">
        <v>2</v>
      </c>
      <c r="J29" s="196">
        <f t="shared" si="3"/>
        <v>0</v>
      </c>
      <c r="K29" s="215" t="str">
        <f t="shared" si="2"/>
        <v/>
      </c>
      <c r="L29" s="189"/>
      <c r="M29" s="274"/>
      <c r="N29" s="274"/>
      <c r="O29" s="274"/>
      <c r="P29" s="69"/>
      <c r="Q29" s="69"/>
      <c r="R29" s="69"/>
      <c r="S29" s="69"/>
      <c r="T29" s="69"/>
      <c r="U29" s="69"/>
      <c r="V29" s="69"/>
      <c r="W29" s="69"/>
      <c r="X29" s="69"/>
      <c r="Y29" s="69"/>
      <c r="Z29" s="69"/>
      <c r="AA29" s="69"/>
    </row>
    <row r="30" spans="1:27" s="69" customFormat="1" ht="19.2" customHeight="1" x14ac:dyDescent="0.25">
      <c r="A30" s="100">
        <v>0</v>
      </c>
      <c r="B30" s="100">
        <v>0</v>
      </c>
      <c r="C30" s="100">
        <v>0</v>
      </c>
      <c r="D30" s="49"/>
      <c r="E30" s="205" t="s">
        <v>96</v>
      </c>
      <c r="F30" s="296" t="s">
        <v>42</v>
      </c>
      <c r="G30" s="296"/>
      <c r="H30" s="296"/>
      <c r="I30" s="47">
        <v>2</v>
      </c>
      <c r="J30" s="196">
        <f t="shared" si="3"/>
        <v>0</v>
      </c>
      <c r="K30" s="215" t="str">
        <f t="shared" si="2"/>
        <v/>
      </c>
      <c r="L30" s="189"/>
      <c r="M30" s="274"/>
      <c r="N30" s="274"/>
      <c r="O30" s="274"/>
    </row>
    <row r="31" spans="1:27" s="69" customFormat="1" ht="19.2" customHeight="1" x14ac:dyDescent="0.25">
      <c r="A31" s="100">
        <v>0</v>
      </c>
      <c r="B31" s="100">
        <v>0</v>
      </c>
      <c r="C31" s="100">
        <v>0</v>
      </c>
      <c r="D31" s="49"/>
      <c r="E31" s="205" t="s">
        <v>97</v>
      </c>
      <c r="F31" s="296" t="s">
        <v>103</v>
      </c>
      <c r="G31" s="296"/>
      <c r="H31" s="296"/>
      <c r="I31" s="47">
        <v>1</v>
      </c>
      <c r="J31" s="196">
        <f t="shared" si="3"/>
        <v>0</v>
      </c>
      <c r="K31" s="215" t="str">
        <f t="shared" si="2"/>
        <v/>
      </c>
      <c r="L31" s="189"/>
      <c r="M31" s="274"/>
      <c r="N31" s="274"/>
      <c r="O31" s="274"/>
    </row>
    <row r="32" spans="1:27" ht="19.2" customHeight="1" x14ac:dyDescent="0.25">
      <c r="A32" s="70"/>
      <c r="B32" s="70"/>
      <c r="C32" s="70"/>
      <c r="D32" s="41"/>
      <c r="E32" s="64"/>
      <c r="F32" s="71"/>
      <c r="G32" s="71"/>
      <c r="H32" s="71"/>
      <c r="I32" s="47"/>
      <c r="J32" s="47"/>
      <c r="L32" s="192"/>
      <c r="M32" s="193"/>
      <c r="N32" s="69"/>
      <c r="O32" s="69"/>
      <c r="P32" s="69"/>
      <c r="Q32" s="69"/>
      <c r="R32" s="69"/>
      <c r="S32" s="69"/>
      <c r="T32" s="69"/>
      <c r="U32" s="69"/>
      <c r="V32" s="69"/>
      <c r="W32" s="69"/>
    </row>
    <row r="33" spans="1:23" ht="19.2" customHeight="1" x14ac:dyDescent="0.25">
      <c r="A33" s="72"/>
      <c r="B33" s="72"/>
      <c r="C33" s="72"/>
      <c r="D33" s="61"/>
      <c r="E33" s="293" t="s">
        <v>16</v>
      </c>
      <c r="F33" s="293"/>
      <c r="G33" s="293"/>
      <c r="H33" s="294"/>
      <c r="I33" s="199">
        <f>SUM(I36:I37)</f>
        <v>8</v>
      </c>
      <c r="J33" s="199">
        <f>SUM(J36:J37)</f>
        <v>0</v>
      </c>
      <c r="L33" s="192"/>
      <c r="M33" s="193"/>
      <c r="N33" s="69"/>
      <c r="O33" s="69"/>
      <c r="P33" s="69"/>
      <c r="Q33" s="69"/>
      <c r="R33" s="69"/>
      <c r="S33" s="69"/>
      <c r="T33" s="69"/>
      <c r="U33" s="69"/>
      <c r="V33" s="69"/>
      <c r="W33" s="69"/>
    </row>
    <row r="34" spans="1:23" s="68" customFormat="1" ht="19.2" customHeight="1" x14ac:dyDescent="0.25">
      <c r="A34" s="111" t="b">
        <v>0</v>
      </c>
      <c r="B34" s="111" t="b">
        <v>0</v>
      </c>
      <c r="C34" s="111" t="b">
        <v>0</v>
      </c>
      <c r="D34" s="44"/>
      <c r="E34" s="45" t="s">
        <v>44</v>
      </c>
      <c r="F34" s="275" t="s">
        <v>45</v>
      </c>
      <c r="G34" s="275"/>
      <c r="H34" s="275"/>
      <c r="I34" s="276" t="s">
        <v>28</v>
      </c>
      <c r="J34" s="277" t="s">
        <v>28</v>
      </c>
      <c r="K34" s="192"/>
      <c r="L34" s="189"/>
      <c r="M34" s="274"/>
      <c r="N34" s="274"/>
      <c r="O34" s="274"/>
      <c r="P34" s="69"/>
      <c r="Q34" s="69"/>
      <c r="R34" s="69"/>
      <c r="S34" s="69"/>
      <c r="T34" s="69"/>
      <c r="U34" s="69"/>
      <c r="V34" s="69"/>
      <c r="W34" s="69"/>
    </row>
    <row r="35" spans="1:23" s="69" customFormat="1" ht="19.2" customHeight="1" x14ac:dyDescent="0.25">
      <c r="A35" s="207" t="b">
        <v>0</v>
      </c>
      <c r="B35" s="207" t="b">
        <v>0</v>
      </c>
      <c r="C35" s="207" t="b">
        <v>0</v>
      </c>
      <c r="D35" s="208"/>
      <c r="E35" s="209" t="s">
        <v>104</v>
      </c>
      <c r="F35" s="275" t="s">
        <v>105</v>
      </c>
      <c r="G35" s="275"/>
      <c r="H35" s="275"/>
      <c r="I35" s="276" t="s">
        <v>28</v>
      </c>
      <c r="J35" s="277" t="s">
        <v>28</v>
      </c>
      <c r="K35" s="192"/>
      <c r="L35" s="189"/>
      <c r="M35" s="274"/>
      <c r="N35" s="274"/>
      <c r="O35" s="274"/>
    </row>
    <row r="36" spans="1:23" s="69" customFormat="1" ht="19.2" customHeight="1" x14ac:dyDescent="0.25">
      <c r="A36" s="100">
        <v>0</v>
      </c>
      <c r="B36" s="100">
        <v>0</v>
      </c>
      <c r="C36" s="100">
        <v>0</v>
      </c>
      <c r="D36" s="49"/>
      <c r="E36" s="64" t="s">
        <v>46</v>
      </c>
      <c r="F36" s="295" t="s">
        <v>106</v>
      </c>
      <c r="G36" s="295"/>
      <c r="H36" s="295"/>
      <c r="I36" s="47">
        <v>1</v>
      </c>
      <c r="J36" s="196">
        <f>SUM(A36:B36)</f>
        <v>0</v>
      </c>
      <c r="K36" s="215" t="str">
        <f>IF(J36&gt;I36,"⚠","")</f>
        <v/>
      </c>
      <c r="L36" s="189"/>
      <c r="M36" s="274"/>
      <c r="N36" s="274"/>
      <c r="O36" s="274"/>
    </row>
    <row r="37" spans="1:23" s="69" customFormat="1" ht="19.2" customHeight="1" x14ac:dyDescent="0.25">
      <c r="A37" s="100">
        <v>0</v>
      </c>
      <c r="B37" s="100">
        <v>0</v>
      </c>
      <c r="C37" s="100">
        <v>0</v>
      </c>
      <c r="D37" s="49"/>
      <c r="E37" s="64" t="s">
        <v>47</v>
      </c>
      <c r="F37" s="278" t="s">
        <v>107</v>
      </c>
      <c r="G37" s="279"/>
      <c r="H37" s="280"/>
      <c r="I37" s="47">
        <v>7</v>
      </c>
      <c r="J37" s="196">
        <f>SUM(A37:B37)</f>
        <v>0</v>
      </c>
      <c r="K37" s="215" t="str">
        <f>IF(J37&gt;I37,"⚠","")</f>
        <v/>
      </c>
      <c r="L37" s="189"/>
      <c r="M37" s="274"/>
      <c r="N37" s="274"/>
      <c r="O37" s="274"/>
    </row>
    <row r="38" spans="1:23" ht="19.2" customHeight="1" x14ac:dyDescent="0.25">
      <c r="A38" s="67"/>
      <c r="B38" s="67"/>
      <c r="C38" s="67"/>
      <c r="D38" s="49"/>
      <c r="E38" s="73"/>
      <c r="F38" s="71"/>
      <c r="G38" s="71"/>
      <c r="H38" s="71"/>
      <c r="I38" s="47"/>
      <c r="J38" s="47"/>
      <c r="L38" s="192"/>
      <c r="M38" s="193"/>
      <c r="N38" s="69"/>
      <c r="O38" s="69"/>
      <c r="P38" s="69"/>
      <c r="Q38" s="69"/>
      <c r="R38" s="69"/>
      <c r="S38" s="69"/>
      <c r="T38" s="69"/>
      <c r="U38" s="69"/>
      <c r="V38" s="69"/>
      <c r="W38" s="69"/>
    </row>
    <row r="39" spans="1:23" s="68" customFormat="1" ht="19.2" customHeight="1" x14ac:dyDescent="0.25">
      <c r="A39" s="74"/>
      <c r="B39" s="74"/>
      <c r="C39" s="74"/>
      <c r="D39" s="75"/>
      <c r="E39" s="300" t="s">
        <v>17</v>
      </c>
      <c r="F39" s="300"/>
      <c r="G39" s="300"/>
      <c r="H39" s="301"/>
      <c r="I39" s="200">
        <f>SUM(I45:I51)</f>
        <v>27</v>
      </c>
      <c r="J39" s="200">
        <f>SUM(J45:J51)</f>
        <v>0</v>
      </c>
      <c r="K39" s="192"/>
      <c r="L39" s="192"/>
      <c r="M39" s="193"/>
      <c r="N39" s="69"/>
      <c r="O39" s="69"/>
      <c r="P39" s="69"/>
      <c r="Q39" s="69"/>
      <c r="R39" s="69"/>
      <c r="S39" s="69"/>
      <c r="T39" s="69"/>
      <c r="U39" s="69"/>
      <c r="V39" s="69"/>
      <c r="W39" s="69"/>
    </row>
    <row r="40" spans="1:23" s="69" customFormat="1" ht="19.2" customHeight="1" x14ac:dyDescent="0.25">
      <c r="A40" s="111" t="b">
        <v>0</v>
      </c>
      <c r="B40" s="111" t="b">
        <v>0</v>
      </c>
      <c r="C40" s="111" t="b">
        <v>0</v>
      </c>
      <c r="D40" s="44"/>
      <c r="E40" s="45" t="s">
        <v>48</v>
      </c>
      <c r="F40" s="275" t="s">
        <v>109</v>
      </c>
      <c r="G40" s="275"/>
      <c r="H40" s="275"/>
      <c r="I40" s="276" t="s">
        <v>28</v>
      </c>
      <c r="J40" s="277" t="s">
        <v>28</v>
      </c>
      <c r="K40" s="216"/>
      <c r="L40" s="189"/>
      <c r="M40" s="274"/>
      <c r="N40" s="274"/>
      <c r="O40" s="274"/>
    </row>
    <row r="41" spans="1:23" s="69" customFormat="1" ht="19.2" customHeight="1" x14ac:dyDescent="0.25">
      <c r="A41" s="111" t="b">
        <v>0</v>
      </c>
      <c r="B41" s="111" t="b">
        <v>0</v>
      </c>
      <c r="C41" s="111" t="b">
        <v>0</v>
      </c>
      <c r="D41" s="44"/>
      <c r="E41" s="45" t="s">
        <v>49</v>
      </c>
      <c r="F41" s="275" t="s">
        <v>110</v>
      </c>
      <c r="G41" s="275"/>
      <c r="H41" s="275"/>
      <c r="I41" s="276" t="s">
        <v>28</v>
      </c>
      <c r="J41" s="277" t="s">
        <v>28</v>
      </c>
      <c r="K41" s="216"/>
      <c r="L41" s="189"/>
      <c r="M41" s="274"/>
      <c r="N41" s="274"/>
      <c r="O41" s="274"/>
    </row>
    <row r="42" spans="1:23" s="69" customFormat="1" ht="19.2" customHeight="1" x14ac:dyDescent="0.25">
      <c r="A42" s="111" t="b">
        <v>0</v>
      </c>
      <c r="B42" s="111" t="b">
        <v>0</v>
      </c>
      <c r="C42" s="111" t="b">
        <v>0</v>
      </c>
      <c r="D42" s="44"/>
      <c r="E42" s="45" t="s">
        <v>50</v>
      </c>
      <c r="F42" s="275" t="s">
        <v>111</v>
      </c>
      <c r="G42" s="275"/>
      <c r="H42" s="275"/>
      <c r="I42" s="276" t="s">
        <v>28</v>
      </c>
      <c r="J42" s="277" t="s">
        <v>28</v>
      </c>
      <c r="K42" s="216"/>
      <c r="L42" s="189"/>
      <c r="M42" s="274"/>
      <c r="N42" s="274"/>
      <c r="O42" s="274"/>
    </row>
    <row r="43" spans="1:23" s="69" customFormat="1" ht="19.2" customHeight="1" x14ac:dyDescent="0.25">
      <c r="A43" s="111" t="b">
        <v>0</v>
      </c>
      <c r="B43" s="111" t="b">
        <v>0</v>
      </c>
      <c r="C43" s="111" t="b">
        <v>0</v>
      </c>
      <c r="D43" s="44"/>
      <c r="E43" s="204" t="s">
        <v>51</v>
      </c>
      <c r="F43" s="275" t="s">
        <v>112</v>
      </c>
      <c r="G43" s="275"/>
      <c r="H43" s="275"/>
      <c r="I43" s="276" t="s">
        <v>28</v>
      </c>
      <c r="J43" s="277" t="s">
        <v>28</v>
      </c>
      <c r="K43" s="216"/>
      <c r="L43" s="189"/>
      <c r="M43" s="274"/>
      <c r="N43" s="274"/>
      <c r="O43" s="274"/>
    </row>
    <row r="44" spans="1:23" s="69" customFormat="1" ht="19.2" customHeight="1" x14ac:dyDescent="0.25">
      <c r="A44" s="111" t="b">
        <v>0</v>
      </c>
      <c r="B44" s="111" t="b">
        <v>0</v>
      </c>
      <c r="C44" s="111" t="b">
        <v>0</v>
      </c>
      <c r="D44" s="44"/>
      <c r="E44" s="45" t="s">
        <v>108</v>
      </c>
      <c r="F44" s="275" t="s">
        <v>52</v>
      </c>
      <c r="G44" s="275"/>
      <c r="H44" s="275"/>
      <c r="I44" s="276" t="s">
        <v>28</v>
      </c>
      <c r="J44" s="277" t="s">
        <v>28</v>
      </c>
      <c r="K44" s="216"/>
      <c r="L44" s="189"/>
      <c r="M44" s="274"/>
      <c r="N44" s="274"/>
      <c r="O44" s="274"/>
    </row>
    <row r="45" spans="1:23" s="69" customFormat="1" ht="19.2" customHeight="1" x14ac:dyDescent="0.25">
      <c r="A45" s="100">
        <v>0</v>
      </c>
      <c r="B45" s="100">
        <v>0</v>
      </c>
      <c r="C45" s="100">
        <v>0</v>
      </c>
      <c r="D45" s="76"/>
      <c r="E45" s="77" t="s">
        <v>53</v>
      </c>
      <c r="F45" s="297" t="s">
        <v>113</v>
      </c>
      <c r="G45" s="298"/>
      <c r="H45" s="299"/>
      <c r="I45" s="78">
        <v>4</v>
      </c>
      <c r="J45" s="196">
        <f t="shared" ref="J45:J51" si="4">SUM(A45:B45)</f>
        <v>0</v>
      </c>
      <c r="K45" s="215" t="str">
        <f t="shared" ref="K45:K51" si="5">IF(J45&gt;I45,"⚠","")</f>
        <v/>
      </c>
      <c r="L45" s="189"/>
      <c r="M45" s="274"/>
      <c r="N45" s="274"/>
      <c r="O45" s="274"/>
    </row>
    <row r="46" spans="1:23" s="69" customFormat="1" ht="19.2" customHeight="1" x14ac:dyDescent="0.25">
      <c r="A46" s="100">
        <v>0</v>
      </c>
      <c r="B46" s="100">
        <v>0</v>
      </c>
      <c r="C46" s="100">
        <v>0</v>
      </c>
      <c r="D46" s="49"/>
      <c r="E46" s="79" t="s">
        <v>54</v>
      </c>
      <c r="F46" s="281" t="s">
        <v>114</v>
      </c>
      <c r="G46" s="282"/>
      <c r="H46" s="283"/>
      <c r="I46" s="80">
        <v>5</v>
      </c>
      <c r="J46" s="196">
        <f t="shared" si="4"/>
        <v>0</v>
      </c>
      <c r="K46" s="215" t="str">
        <f t="shared" si="5"/>
        <v/>
      </c>
      <c r="L46" s="189"/>
      <c r="M46" s="274"/>
      <c r="N46" s="274"/>
      <c r="O46" s="274"/>
    </row>
    <row r="47" spans="1:23" s="69" customFormat="1" ht="19.2" customHeight="1" x14ac:dyDescent="0.25">
      <c r="A47" s="100">
        <v>0</v>
      </c>
      <c r="B47" s="100">
        <v>0</v>
      </c>
      <c r="C47" s="100">
        <v>0</v>
      </c>
      <c r="D47" s="49"/>
      <c r="E47" s="79" t="s">
        <v>55</v>
      </c>
      <c r="F47" s="310" t="s">
        <v>115</v>
      </c>
      <c r="G47" s="311"/>
      <c r="H47" s="311"/>
      <c r="I47" s="81">
        <v>7</v>
      </c>
      <c r="J47" s="196">
        <f t="shared" si="4"/>
        <v>0</v>
      </c>
      <c r="K47" s="215" t="str">
        <f t="shared" si="5"/>
        <v/>
      </c>
      <c r="L47" s="189"/>
      <c r="M47" s="274"/>
      <c r="N47" s="274"/>
      <c r="O47" s="274"/>
    </row>
    <row r="48" spans="1:23" s="69" customFormat="1" ht="19.2" customHeight="1" x14ac:dyDescent="0.25">
      <c r="A48" s="100">
        <v>0</v>
      </c>
      <c r="B48" s="100">
        <v>0</v>
      </c>
      <c r="C48" s="100">
        <v>0</v>
      </c>
      <c r="D48" s="41"/>
      <c r="E48" s="79" t="s">
        <v>56</v>
      </c>
      <c r="F48" s="306" t="s">
        <v>116</v>
      </c>
      <c r="G48" s="307"/>
      <c r="H48" s="308"/>
      <c r="I48" s="81">
        <v>4</v>
      </c>
      <c r="J48" s="196">
        <f t="shared" si="4"/>
        <v>0</v>
      </c>
      <c r="K48" s="215" t="str">
        <f t="shared" si="5"/>
        <v/>
      </c>
      <c r="L48" s="189"/>
      <c r="M48" s="274"/>
      <c r="N48" s="274"/>
      <c r="O48" s="274"/>
    </row>
    <row r="49" spans="1:15" s="69" customFormat="1" ht="19.2" customHeight="1" x14ac:dyDescent="0.25">
      <c r="A49" s="100">
        <v>0</v>
      </c>
      <c r="B49" s="100">
        <v>0</v>
      </c>
      <c r="C49" s="100">
        <v>0</v>
      </c>
      <c r="D49" s="82"/>
      <c r="E49" s="79" t="s">
        <v>57</v>
      </c>
      <c r="F49" s="306" t="s">
        <v>117</v>
      </c>
      <c r="G49" s="307"/>
      <c r="H49" s="308"/>
      <c r="I49" s="81">
        <v>3</v>
      </c>
      <c r="J49" s="196">
        <f t="shared" si="4"/>
        <v>0</v>
      </c>
      <c r="K49" s="215" t="str">
        <f t="shared" si="5"/>
        <v/>
      </c>
      <c r="L49" s="189"/>
      <c r="M49" s="274"/>
      <c r="N49" s="274"/>
      <c r="O49" s="274"/>
    </row>
    <row r="50" spans="1:15" s="69" customFormat="1" ht="19.2" customHeight="1" x14ac:dyDescent="0.25">
      <c r="A50" s="100">
        <v>0</v>
      </c>
      <c r="B50" s="100">
        <v>0</v>
      </c>
      <c r="C50" s="100">
        <v>0</v>
      </c>
      <c r="D50" s="49"/>
      <c r="E50" s="79" t="s">
        <v>58</v>
      </c>
      <c r="F50" s="316" t="s">
        <v>118</v>
      </c>
      <c r="G50" s="317"/>
      <c r="H50" s="318"/>
      <c r="I50" s="81">
        <v>2</v>
      </c>
      <c r="J50" s="196">
        <f t="shared" si="4"/>
        <v>0</v>
      </c>
      <c r="K50" s="215" t="str">
        <f t="shared" si="5"/>
        <v/>
      </c>
      <c r="L50" s="189"/>
      <c r="M50" s="274"/>
      <c r="N50" s="274"/>
      <c r="O50" s="274"/>
    </row>
    <row r="51" spans="1:15" s="69" customFormat="1" ht="19.2" customHeight="1" x14ac:dyDescent="0.25">
      <c r="A51" s="100">
        <v>0</v>
      </c>
      <c r="B51" s="100">
        <v>0</v>
      </c>
      <c r="C51" s="100">
        <v>0</v>
      </c>
      <c r="D51" s="49"/>
      <c r="E51" s="79" t="s">
        <v>59</v>
      </c>
      <c r="F51" s="316" t="s">
        <v>119</v>
      </c>
      <c r="G51" s="317"/>
      <c r="H51" s="318"/>
      <c r="I51" s="81">
        <v>2</v>
      </c>
      <c r="J51" s="196">
        <f t="shared" si="4"/>
        <v>0</v>
      </c>
      <c r="K51" s="215" t="str">
        <f t="shared" si="5"/>
        <v/>
      </c>
      <c r="L51" s="189"/>
      <c r="M51" s="274"/>
      <c r="N51" s="274"/>
      <c r="O51" s="274"/>
    </row>
    <row r="52" spans="1:15" s="69" customFormat="1" ht="19.2" customHeight="1" x14ac:dyDescent="0.25">
      <c r="A52" s="67"/>
      <c r="B52" s="67"/>
      <c r="C52" s="67"/>
      <c r="D52" s="49"/>
      <c r="E52" s="83"/>
      <c r="F52" s="84"/>
      <c r="G52" s="84"/>
      <c r="H52" s="84"/>
      <c r="I52" s="85"/>
      <c r="J52" s="85"/>
      <c r="K52" s="190"/>
      <c r="L52" s="190"/>
      <c r="M52" s="191"/>
    </row>
    <row r="53" spans="1:15" s="69" customFormat="1" ht="19.2" customHeight="1" x14ac:dyDescent="0.25">
      <c r="A53" s="67"/>
      <c r="B53" s="67"/>
      <c r="C53" s="67"/>
      <c r="D53" s="49"/>
      <c r="E53" s="312" t="s">
        <v>18</v>
      </c>
      <c r="F53" s="312"/>
      <c r="G53" s="312"/>
      <c r="H53" s="313"/>
      <c r="I53" s="201">
        <f>SUM(I56:I60)</f>
        <v>21</v>
      </c>
      <c r="J53" s="201">
        <f>SUM(J56:J60)</f>
        <v>0</v>
      </c>
      <c r="K53" s="192"/>
      <c r="L53" s="192"/>
      <c r="M53" s="193"/>
    </row>
    <row r="54" spans="1:15" s="57" customFormat="1" ht="19.2" customHeight="1" x14ac:dyDescent="0.25">
      <c r="A54" s="111" t="b">
        <v>0</v>
      </c>
      <c r="B54" s="111" t="b">
        <v>0</v>
      </c>
      <c r="C54" s="111" t="b">
        <v>0</v>
      </c>
      <c r="D54" s="44"/>
      <c r="E54" s="204" t="s">
        <v>120</v>
      </c>
      <c r="F54" s="275" t="s">
        <v>125</v>
      </c>
      <c r="G54" s="275"/>
      <c r="H54" s="275"/>
      <c r="I54" s="276" t="s">
        <v>28</v>
      </c>
      <c r="J54" s="277" t="s">
        <v>28</v>
      </c>
      <c r="K54" s="216"/>
      <c r="L54" s="189"/>
      <c r="M54" s="274"/>
      <c r="N54" s="274"/>
      <c r="O54" s="274"/>
    </row>
    <row r="55" spans="1:15" s="57" customFormat="1" ht="19.2" customHeight="1" x14ac:dyDescent="0.25">
      <c r="A55" s="111" t="b">
        <v>0</v>
      </c>
      <c r="B55" s="111" t="b">
        <v>0</v>
      </c>
      <c r="C55" s="111" t="b">
        <v>0</v>
      </c>
      <c r="D55" s="44"/>
      <c r="E55" s="204" t="s">
        <v>121</v>
      </c>
      <c r="F55" s="275" t="s">
        <v>126</v>
      </c>
      <c r="G55" s="275"/>
      <c r="H55" s="275"/>
      <c r="I55" s="276" t="s">
        <v>28</v>
      </c>
      <c r="J55" s="277" t="s">
        <v>28</v>
      </c>
      <c r="K55" s="216"/>
      <c r="L55" s="189"/>
      <c r="M55" s="274"/>
      <c r="N55" s="274"/>
      <c r="O55" s="274"/>
    </row>
    <row r="56" spans="1:15" s="57" customFormat="1" ht="19.2" customHeight="1" x14ac:dyDescent="0.25">
      <c r="A56" s="100">
        <v>0</v>
      </c>
      <c r="B56" s="100">
        <v>0</v>
      </c>
      <c r="C56" s="100">
        <v>0</v>
      </c>
      <c r="D56" s="49"/>
      <c r="E56" s="64" t="s">
        <v>60</v>
      </c>
      <c r="F56" s="281" t="s">
        <v>127</v>
      </c>
      <c r="G56" s="282"/>
      <c r="H56" s="283"/>
      <c r="I56" s="47">
        <v>5</v>
      </c>
      <c r="J56" s="196">
        <f>SUM(A56:B56)</f>
        <v>0</v>
      </c>
      <c r="K56" s="215" t="str">
        <f>IF(J56&gt;I56,"⚠","")</f>
        <v/>
      </c>
      <c r="L56" s="189"/>
      <c r="M56" s="274"/>
      <c r="N56" s="274"/>
      <c r="O56" s="274"/>
    </row>
    <row r="57" spans="1:15" s="57" customFormat="1" ht="19.2" customHeight="1" x14ac:dyDescent="0.25">
      <c r="A57" s="100">
        <v>0</v>
      </c>
      <c r="B57" s="100">
        <v>0</v>
      </c>
      <c r="C57" s="100">
        <v>0</v>
      </c>
      <c r="D57" s="49"/>
      <c r="E57" s="205" t="s">
        <v>61</v>
      </c>
      <c r="F57" s="281" t="s">
        <v>128</v>
      </c>
      <c r="G57" s="282"/>
      <c r="H57" s="283"/>
      <c r="I57" s="47">
        <v>8</v>
      </c>
      <c r="J57" s="196">
        <f t="shared" ref="J57:J60" si="6">SUM(A57:B57)</f>
        <v>0</v>
      </c>
      <c r="K57" s="215" t="str">
        <f>IF(J57&gt;I57,"⚠","")</f>
        <v/>
      </c>
      <c r="L57" s="189"/>
      <c r="M57" s="274"/>
      <c r="N57" s="274"/>
      <c r="O57" s="274"/>
    </row>
    <row r="58" spans="1:15" s="68" customFormat="1" ht="19.2" customHeight="1" x14ac:dyDescent="0.25">
      <c r="A58" s="100">
        <v>0</v>
      </c>
      <c r="B58" s="100">
        <v>0</v>
      </c>
      <c r="C58" s="100">
        <v>0</v>
      </c>
      <c r="D58" s="49"/>
      <c r="E58" s="205" t="s">
        <v>122</v>
      </c>
      <c r="F58" s="281" t="s">
        <v>129</v>
      </c>
      <c r="G58" s="282"/>
      <c r="H58" s="283"/>
      <c r="I58" s="47">
        <v>1</v>
      </c>
      <c r="J58" s="196">
        <f t="shared" si="6"/>
        <v>0</v>
      </c>
      <c r="K58" s="215" t="str">
        <f>IF(J58&gt;I58,"⚠","")</f>
        <v/>
      </c>
      <c r="L58" s="189"/>
      <c r="M58" s="274"/>
      <c r="N58" s="274"/>
      <c r="O58" s="274"/>
    </row>
    <row r="59" spans="1:15" s="86" customFormat="1" ht="19.2" customHeight="1" x14ac:dyDescent="0.25">
      <c r="A59" s="100">
        <v>0</v>
      </c>
      <c r="B59" s="100">
        <v>0</v>
      </c>
      <c r="C59" s="100">
        <v>0</v>
      </c>
      <c r="D59" s="49"/>
      <c r="E59" s="205" t="s">
        <v>123</v>
      </c>
      <c r="F59" s="281" t="s">
        <v>130</v>
      </c>
      <c r="G59" s="282"/>
      <c r="H59" s="283"/>
      <c r="I59" s="47">
        <v>5</v>
      </c>
      <c r="J59" s="196">
        <f t="shared" si="6"/>
        <v>0</v>
      </c>
      <c r="K59" s="215" t="str">
        <f>IF(J59&gt;I59,"⚠","")</f>
        <v/>
      </c>
      <c r="L59" s="189"/>
      <c r="M59" s="274"/>
      <c r="N59" s="274"/>
      <c r="O59" s="274"/>
    </row>
    <row r="60" spans="1:15" s="86" customFormat="1" ht="19.2" customHeight="1" x14ac:dyDescent="0.25">
      <c r="A60" s="100">
        <v>0</v>
      </c>
      <c r="B60" s="100">
        <v>0</v>
      </c>
      <c r="C60" s="100">
        <v>0</v>
      </c>
      <c r="D60" s="49"/>
      <c r="E60" s="64" t="s">
        <v>124</v>
      </c>
      <c r="F60" s="281" t="s">
        <v>131</v>
      </c>
      <c r="G60" s="282"/>
      <c r="H60" s="283"/>
      <c r="I60" s="47">
        <v>2</v>
      </c>
      <c r="J60" s="196">
        <f t="shared" si="6"/>
        <v>0</v>
      </c>
      <c r="K60" s="215" t="str">
        <f>IF(J60&gt;I60,"⚠","")</f>
        <v/>
      </c>
      <c r="L60" s="189"/>
      <c r="M60" s="274"/>
      <c r="N60" s="274"/>
      <c r="O60" s="274"/>
    </row>
    <row r="61" spans="1:15" s="57" customFormat="1" ht="19.2" customHeight="1" x14ac:dyDescent="0.25">
      <c r="A61" s="67"/>
      <c r="B61" s="67"/>
      <c r="C61" s="67"/>
      <c r="D61" s="49"/>
      <c r="E61" s="87"/>
      <c r="F61" s="88"/>
      <c r="G61" s="88"/>
      <c r="H61" s="88"/>
      <c r="I61" s="88"/>
      <c r="J61" s="88"/>
      <c r="K61" s="190"/>
      <c r="L61" s="190"/>
      <c r="M61" s="191"/>
      <c r="N61" s="69"/>
    </row>
    <row r="62" spans="1:15" s="57" customFormat="1" ht="19.2" customHeight="1" x14ac:dyDescent="0.25">
      <c r="A62" s="74"/>
      <c r="B62" s="74"/>
      <c r="C62" s="74"/>
      <c r="D62" s="49"/>
      <c r="E62" s="314" t="s">
        <v>19</v>
      </c>
      <c r="F62" s="314"/>
      <c r="G62" s="314"/>
      <c r="H62" s="315"/>
      <c r="I62" s="202">
        <f>SUM(I66:I69)</f>
        <v>11</v>
      </c>
      <c r="J62" s="202">
        <f>SUM(J66:J69)</f>
        <v>0</v>
      </c>
      <c r="K62" s="192"/>
      <c r="L62" s="192"/>
      <c r="M62" s="193"/>
      <c r="N62" s="69"/>
    </row>
    <row r="63" spans="1:15" s="68" customFormat="1" ht="19.2" customHeight="1" x14ac:dyDescent="0.25">
      <c r="A63" s="111" t="b">
        <v>0</v>
      </c>
      <c r="B63" s="111" t="b">
        <v>0</v>
      </c>
      <c r="C63" s="111" t="b">
        <v>0</v>
      </c>
      <c r="D63" s="44"/>
      <c r="E63" s="45" t="s">
        <v>62</v>
      </c>
      <c r="F63" s="275" t="s">
        <v>133</v>
      </c>
      <c r="G63" s="275"/>
      <c r="H63" s="275"/>
      <c r="I63" s="276" t="s">
        <v>28</v>
      </c>
      <c r="J63" s="277" t="s">
        <v>28</v>
      </c>
      <c r="K63" s="190"/>
      <c r="L63" s="189"/>
      <c r="M63" s="274"/>
      <c r="N63" s="274"/>
      <c r="O63" s="274"/>
    </row>
    <row r="64" spans="1:15" s="86" customFormat="1" ht="19.2" customHeight="1" x14ac:dyDescent="0.25">
      <c r="A64" s="111" t="b">
        <v>0</v>
      </c>
      <c r="B64" s="111" t="b">
        <v>0</v>
      </c>
      <c r="C64" s="111" t="b">
        <v>0</v>
      </c>
      <c r="D64" s="44"/>
      <c r="E64" s="204" t="s">
        <v>63</v>
      </c>
      <c r="F64" s="275" t="s">
        <v>134</v>
      </c>
      <c r="G64" s="275"/>
      <c r="H64" s="275"/>
      <c r="I64" s="276" t="s">
        <v>28</v>
      </c>
      <c r="J64" s="277" t="s">
        <v>28</v>
      </c>
      <c r="K64" s="190"/>
      <c r="L64" s="189"/>
      <c r="M64" s="274"/>
      <c r="N64" s="274"/>
      <c r="O64" s="274"/>
    </row>
    <row r="65" spans="1:20" s="86" customFormat="1" ht="19.2" customHeight="1" x14ac:dyDescent="0.25">
      <c r="A65" s="111" t="b">
        <v>0</v>
      </c>
      <c r="B65" s="111" t="b">
        <v>0</v>
      </c>
      <c r="C65" s="111" t="b">
        <v>0</v>
      </c>
      <c r="D65" s="44"/>
      <c r="E65" s="45" t="s">
        <v>132</v>
      </c>
      <c r="F65" s="275" t="s">
        <v>135</v>
      </c>
      <c r="G65" s="275"/>
      <c r="H65" s="275"/>
      <c r="I65" s="276" t="s">
        <v>28</v>
      </c>
      <c r="J65" s="277" t="s">
        <v>28</v>
      </c>
      <c r="K65" s="190"/>
      <c r="L65" s="189"/>
      <c r="M65" s="274"/>
      <c r="N65" s="274"/>
      <c r="O65" s="274"/>
    </row>
    <row r="66" spans="1:20" s="86" customFormat="1" ht="19.2" customHeight="1" x14ac:dyDescent="0.25">
      <c r="A66" s="100">
        <v>0</v>
      </c>
      <c r="B66" s="100">
        <v>0</v>
      </c>
      <c r="C66" s="100">
        <v>0</v>
      </c>
      <c r="D66" s="49"/>
      <c r="E66" s="64" t="s">
        <v>64</v>
      </c>
      <c r="F66" s="295" t="s">
        <v>136</v>
      </c>
      <c r="G66" s="295"/>
      <c r="H66" s="295"/>
      <c r="I66" s="47">
        <v>1</v>
      </c>
      <c r="J66" s="196">
        <f t="shared" ref="J66:J69" si="7">SUM(A66:B66)</f>
        <v>0</v>
      </c>
      <c r="K66" s="215" t="str">
        <f>IF(J66&gt;I66,"⚠","")</f>
        <v/>
      </c>
      <c r="L66" s="189"/>
      <c r="M66" s="274"/>
      <c r="N66" s="274"/>
      <c r="O66" s="274"/>
    </row>
    <row r="67" spans="1:20" s="86" customFormat="1" ht="19.2" customHeight="1" x14ac:dyDescent="0.25">
      <c r="A67" s="100">
        <v>0</v>
      </c>
      <c r="B67" s="100">
        <v>0</v>
      </c>
      <c r="C67" s="100">
        <v>0</v>
      </c>
      <c r="D67" s="49"/>
      <c r="E67" s="64" t="s">
        <v>65</v>
      </c>
      <c r="F67" s="278" t="s">
        <v>137</v>
      </c>
      <c r="G67" s="279"/>
      <c r="H67" s="280"/>
      <c r="I67" s="47">
        <v>7</v>
      </c>
      <c r="J67" s="196">
        <f t="shared" si="7"/>
        <v>0</v>
      </c>
      <c r="K67" s="215" t="str">
        <f>IF(J67&gt;I67,"⚠","")</f>
        <v/>
      </c>
      <c r="L67" s="189"/>
      <c r="M67" s="274"/>
      <c r="N67" s="274"/>
      <c r="O67" s="274"/>
    </row>
    <row r="68" spans="1:20" s="86" customFormat="1" ht="19.2" customHeight="1" x14ac:dyDescent="0.25">
      <c r="A68" s="100">
        <v>0</v>
      </c>
      <c r="B68" s="100">
        <v>0</v>
      </c>
      <c r="C68" s="100">
        <v>0</v>
      </c>
      <c r="D68" s="49"/>
      <c r="E68" s="64" t="s">
        <v>66</v>
      </c>
      <c r="F68" s="278" t="s">
        <v>138</v>
      </c>
      <c r="G68" s="279"/>
      <c r="H68" s="280"/>
      <c r="I68" s="47">
        <v>1</v>
      </c>
      <c r="J68" s="196">
        <f t="shared" si="7"/>
        <v>0</v>
      </c>
      <c r="K68" s="215" t="str">
        <f>IF(J68&gt;I68,"⚠","")</f>
        <v/>
      </c>
      <c r="L68" s="189"/>
      <c r="M68" s="274"/>
      <c r="N68" s="274"/>
      <c r="O68" s="274"/>
    </row>
    <row r="69" spans="1:20" s="86" customFormat="1" ht="19.2" customHeight="1" x14ac:dyDescent="0.25">
      <c r="A69" s="100">
        <v>0</v>
      </c>
      <c r="B69" s="100">
        <v>0</v>
      </c>
      <c r="C69" s="100">
        <v>0</v>
      </c>
      <c r="D69" s="49"/>
      <c r="E69" s="64" t="s">
        <v>67</v>
      </c>
      <c r="F69" s="278" t="s">
        <v>68</v>
      </c>
      <c r="G69" s="279"/>
      <c r="H69" s="280"/>
      <c r="I69" s="47">
        <v>2</v>
      </c>
      <c r="J69" s="196">
        <f t="shared" si="7"/>
        <v>0</v>
      </c>
      <c r="K69" s="215" t="str">
        <f>IF(J69&gt;I69,"⚠","")</f>
        <v/>
      </c>
      <c r="L69" s="189"/>
      <c r="M69" s="274"/>
      <c r="N69" s="274"/>
      <c r="O69" s="274"/>
      <c r="S69" s="68"/>
      <c r="T69" s="68"/>
    </row>
    <row r="70" spans="1:20" s="57" customFormat="1" ht="19.2" customHeight="1" x14ac:dyDescent="0.25">
      <c r="A70" s="70"/>
      <c r="B70" s="70"/>
      <c r="C70" s="70"/>
      <c r="D70" s="41"/>
      <c r="E70" s="89"/>
      <c r="F70" s="90"/>
      <c r="G70" s="90"/>
      <c r="H70" s="91"/>
      <c r="I70" s="92"/>
      <c r="J70" s="92"/>
      <c r="K70" s="190"/>
      <c r="L70" s="190"/>
      <c r="M70" s="191"/>
      <c r="N70" s="69"/>
      <c r="S70" s="68"/>
      <c r="T70" s="68"/>
    </row>
    <row r="71" spans="1:20" s="57" customFormat="1" ht="19.2" customHeight="1" x14ac:dyDescent="0.25">
      <c r="A71" s="67"/>
      <c r="B71" s="67"/>
      <c r="C71" s="67"/>
      <c r="D71" s="49"/>
      <c r="E71" s="284" t="s">
        <v>20</v>
      </c>
      <c r="F71" s="284"/>
      <c r="G71" s="284"/>
      <c r="H71" s="285"/>
      <c r="I71" s="93">
        <f>SUM(I72:I82)</f>
        <v>10</v>
      </c>
      <c r="J71" s="93">
        <f>SUM(J72:J82)</f>
        <v>0</v>
      </c>
      <c r="K71" s="192"/>
      <c r="L71" s="192"/>
      <c r="M71" s="193"/>
      <c r="N71" s="69"/>
      <c r="S71" s="68"/>
      <c r="T71" s="68"/>
    </row>
    <row r="72" spans="1:20" s="68" customFormat="1" ht="19.2" customHeight="1" x14ac:dyDescent="0.25">
      <c r="A72" s="100"/>
      <c r="B72" s="100"/>
      <c r="C72" s="100"/>
      <c r="D72" s="49"/>
      <c r="E72" s="251" t="s">
        <v>69</v>
      </c>
      <c r="F72" s="319" t="s">
        <v>70</v>
      </c>
      <c r="G72" s="320"/>
      <c r="H72" s="321"/>
      <c r="I72" s="252">
        <v>9</v>
      </c>
      <c r="J72" s="197">
        <f>SUM(J73:J81)</f>
        <v>0</v>
      </c>
      <c r="K72" s="215" t="str">
        <f>IF(J72&gt;I72,"⚠","")</f>
        <v/>
      </c>
      <c r="L72" s="189"/>
      <c r="M72" s="274"/>
      <c r="N72" s="274"/>
      <c r="O72" s="274"/>
    </row>
    <row r="73" spans="1:20" s="68" customFormat="1" ht="19.2" customHeight="1" x14ac:dyDescent="0.25">
      <c r="A73" s="100">
        <v>0</v>
      </c>
      <c r="B73" s="100">
        <v>0</v>
      </c>
      <c r="C73" s="100">
        <v>0</v>
      </c>
      <c r="D73" s="49"/>
      <c r="E73" s="77"/>
      <c r="F73" s="253" t="s">
        <v>174</v>
      </c>
      <c r="G73" s="254"/>
      <c r="H73" s="255" t="s">
        <v>175</v>
      </c>
      <c r="I73" s="78"/>
      <c r="J73" s="250">
        <f>SUM(A73:B73)</f>
        <v>0</v>
      </c>
      <c r="K73" s="215"/>
      <c r="L73" s="189"/>
      <c r="M73" s="274"/>
      <c r="N73" s="274"/>
      <c r="O73" s="274"/>
    </row>
    <row r="74" spans="1:20" s="68" customFormat="1" ht="19.2" customHeight="1" x14ac:dyDescent="0.25">
      <c r="A74" s="100">
        <v>0</v>
      </c>
      <c r="B74" s="100">
        <v>0</v>
      </c>
      <c r="C74" s="100">
        <v>0</v>
      </c>
      <c r="D74" s="49"/>
      <c r="E74" s="241"/>
      <c r="F74" s="256" t="s">
        <v>176</v>
      </c>
      <c r="G74" s="257"/>
      <c r="H74" s="258" t="s">
        <v>175</v>
      </c>
      <c r="I74" s="80"/>
      <c r="J74" s="250">
        <f t="shared" ref="J74:J81" si="8">SUM(A74:B74)</f>
        <v>0</v>
      </c>
      <c r="K74" s="215"/>
      <c r="L74" s="189"/>
      <c r="M74" s="274"/>
      <c r="N74" s="274"/>
      <c r="O74" s="274"/>
    </row>
    <row r="75" spans="1:20" s="68" customFormat="1" ht="19.2" customHeight="1" x14ac:dyDescent="0.25">
      <c r="A75" s="100">
        <v>0</v>
      </c>
      <c r="B75" s="100">
        <v>0</v>
      </c>
      <c r="C75" s="100">
        <v>0</v>
      </c>
      <c r="D75" s="49"/>
      <c r="E75" s="241"/>
      <c r="F75" s="256" t="s">
        <v>177</v>
      </c>
      <c r="G75" s="257"/>
      <c r="H75" s="258" t="s">
        <v>175</v>
      </c>
      <c r="I75" s="80"/>
      <c r="J75" s="250">
        <f t="shared" si="8"/>
        <v>0</v>
      </c>
      <c r="K75" s="215"/>
      <c r="L75" s="189"/>
      <c r="M75" s="274"/>
      <c r="N75" s="274"/>
      <c r="O75" s="274"/>
    </row>
    <row r="76" spans="1:20" s="68" customFormat="1" ht="19.2" customHeight="1" x14ac:dyDescent="0.25">
      <c r="A76" s="100">
        <v>0</v>
      </c>
      <c r="B76" s="100">
        <v>0</v>
      </c>
      <c r="C76" s="100">
        <v>0</v>
      </c>
      <c r="D76" s="49"/>
      <c r="E76" s="241"/>
      <c r="F76" s="256" t="s">
        <v>178</v>
      </c>
      <c r="G76" s="257"/>
      <c r="H76" s="258" t="s">
        <v>175</v>
      </c>
      <c r="I76" s="80"/>
      <c r="J76" s="250">
        <f t="shared" si="8"/>
        <v>0</v>
      </c>
      <c r="K76" s="215"/>
      <c r="L76" s="189"/>
      <c r="M76" s="274"/>
      <c r="N76" s="274"/>
      <c r="O76" s="274"/>
    </row>
    <row r="77" spans="1:20" s="68" customFormat="1" ht="19.2" customHeight="1" x14ac:dyDescent="0.25">
      <c r="A77" s="100">
        <v>0</v>
      </c>
      <c r="B77" s="100">
        <v>0</v>
      </c>
      <c r="C77" s="100">
        <v>0</v>
      </c>
      <c r="D77" s="49"/>
      <c r="E77" s="241"/>
      <c r="F77" s="256" t="s">
        <v>179</v>
      </c>
      <c r="G77" s="257"/>
      <c r="H77" s="258" t="s">
        <v>175</v>
      </c>
      <c r="I77" s="80"/>
      <c r="J77" s="250">
        <f t="shared" si="8"/>
        <v>0</v>
      </c>
      <c r="K77" s="215"/>
      <c r="L77" s="189"/>
      <c r="M77" s="274"/>
      <c r="N77" s="274"/>
      <c r="O77" s="274"/>
    </row>
    <row r="78" spans="1:20" s="68" customFormat="1" ht="19.2" customHeight="1" x14ac:dyDescent="0.25">
      <c r="A78" s="100">
        <v>0</v>
      </c>
      <c r="B78" s="100">
        <v>0</v>
      </c>
      <c r="C78" s="100">
        <v>0</v>
      </c>
      <c r="D78" s="49"/>
      <c r="E78" s="241"/>
      <c r="F78" s="256" t="s">
        <v>180</v>
      </c>
      <c r="G78" s="257"/>
      <c r="H78" s="258" t="s">
        <v>175</v>
      </c>
      <c r="I78" s="80"/>
      <c r="J78" s="250">
        <f t="shared" si="8"/>
        <v>0</v>
      </c>
      <c r="K78" s="215"/>
      <c r="L78" s="189"/>
      <c r="M78" s="274"/>
      <c r="N78" s="274"/>
      <c r="O78" s="274"/>
    </row>
    <row r="79" spans="1:20" s="68" customFormat="1" ht="19.2" customHeight="1" x14ac:dyDescent="0.25">
      <c r="A79" s="100">
        <v>0</v>
      </c>
      <c r="B79" s="100">
        <v>0</v>
      </c>
      <c r="C79" s="100">
        <v>0</v>
      </c>
      <c r="D79" s="49"/>
      <c r="E79" s="241"/>
      <c r="F79" s="256" t="s">
        <v>181</v>
      </c>
      <c r="G79" s="257"/>
      <c r="H79" s="258" t="s">
        <v>175</v>
      </c>
      <c r="I79" s="80"/>
      <c r="J79" s="250">
        <f t="shared" si="8"/>
        <v>0</v>
      </c>
      <c r="K79" s="215"/>
      <c r="L79" s="189"/>
      <c r="M79" s="274"/>
      <c r="N79" s="274"/>
      <c r="O79" s="274"/>
    </row>
    <row r="80" spans="1:20" s="68" customFormat="1" ht="19.2" customHeight="1" x14ac:dyDescent="0.25">
      <c r="A80" s="100">
        <v>0</v>
      </c>
      <c r="B80" s="100">
        <v>0</v>
      </c>
      <c r="C80" s="100">
        <v>0</v>
      </c>
      <c r="D80" s="49"/>
      <c r="E80" s="241"/>
      <c r="F80" s="256" t="s">
        <v>182</v>
      </c>
      <c r="G80" s="257"/>
      <c r="H80" s="258" t="s">
        <v>175</v>
      </c>
      <c r="I80" s="80"/>
      <c r="J80" s="250">
        <f t="shared" si="8"/>
        <v>0</v>
      </c>
      <c r="K80" s="215"/>
      <c r="L80" s="189"/>
      <c r="M80" s="274"/>
      <c r="N80" s="274"/>
      <c r="O80" s="274"/>
    </row>
    <row r="81" spans="1:20" s="68" customFormat="1" ht="19.2" customHeight="1" x14ac:dyDescent="0.25">
      <c r="A81" s="100">
        <v>0</v>
      </c>
      <c r="B81" s="100">
        <v>0</v>
      </c>
      <c r="C81" s="100">
        <v>0</v>
      </c>
      <c r="D81" s="49"/>
      <c r="E81" s="241"/>
      <c r="F81" s="256" t="s">
        <v>183</v>
      </c>
      <c r="G81" s="257"/>
      <c r="H81" s="258" t="s">
        <v>175</v>
      </c>
      <c r="I81" s="80"/>
      <c r="J81" s="250">
        <f t="shared" si="8"/>
        <v>0</v>
      </c>
      <c r="K81" s="215"/>
      <c r="L81" s="189"/>
      <c r="M81" s="274"/>
      <c r="N81" s="274"/>
      <c r="O81" s="274"/>
    </row>
    <row r="82" spans="1:20" s="86" customFormat="1" ht="19.2" customHeight="1" x14ac:dyDescent="0.25">
      <c r="A82" s="100">
        <v>0</v>
      </c>
      <c r="B82" s="100">
        <v>0</v>
      </c>
      <c r="C82" s="100">
        <v>0</v>
      </c>
      <c r="D82" s="49"/>
      <c r="E82" s="206" t="s">
        <v>139</v>
      </c>
      <c r="F82" s="278" t="s">
        <v>140</v>
      </c>
      <c r="G82" s="279"/>
      <c r="H82" s="280"/>
      <c r="I82" s="80">
        <v>1</v>
      </c>
      <c r="J82" s="196">
        <f>SUM(A82:B82)</f>
        <v>0</v>
      </c>
      <c r="K82" s="215" t="str">
        <f>IF(J82&gt;I82,"⚠","")</f>
        <v/>
      </c>
      <c r="L82" s="189"/>
      <c r="M82" s="274"/>
      <c r="N82" s="274"/>
      <c r="O82" s="274"/>
      <c r="S82" s="68"/>
      <c r="T82" s="68"/>
    </row>
    <row r="83" spans="1:20" s="57" customFormat="1" ht="19.2" customHeight="1" x14ac:dyDescent="0.25">
      <c r="A83" s="74"/>
      <c r="B83" s="74"/>
      <c r="C83" s="74"/>
      <c r="D83" s="75"/>
      <c r="E83" s="63"/>
      <c r="F83" s="63"/>
      <c r="G83" s="63"/>
      <c r="H83" s="63"/>
      <c r="I83" s="63"/>
      <c r="J83" s="63"/>
      <c r="K83" s="194"/>
      <c r="L83" s="194"/>
      <c r="M83" s="195"/>
      <c r="S83" s="118"/>
      <c r="T83" s="68"/>
    </row>
    <row r="84" spans="1:20" s="96" customFormat="1" ht="21" customHeight="1" x14ac:dyDescent="0.25">
      <c r="A84" s="94">
        <f>SUM(A14:A15,A18:A22,A26:A31,A36:A37,A45:A51,A56:A60,A66:A69,A73:A82)</f>
        <v>0</v>
      </c>
      <c r="B84" s="94">
        <f>SUM(B14:B15,B18:B22,B26:B31,B36:B37,B45:B51,B56:B60,B66:B69,B73:B82)</f>
        <v>0</v>
      </c>
      <c r="C84" s="94">
        <f>SUM(C14:C15,C18:C22,C26:C31,C36:C37,C45:C51,C56:C60,C66:C69,C73:C82)</f>
        <v>0</v>
      </c>
      <c r="D84" s="94"/>
      <c r="E84" s="309" t="s">
        <v>22</v>
      </c>
      <c r="F84" s="309"/>
      <c r="G84" s="309"/>
      <c r="H84" s="95"/>
      <c r="I84" s="94">
        <f xml:space="preserve"> SUM(I9,I17,I24,I33,I39,I53,I62, I71)</f>
        <v>110</v>
      </c>
      <c r="J84" s="94">
        <f xml:space="preserve"> SUM(J9,J17,J24,J33,J39,J53,J62, J71)</f>
        <v>0</v>
      </c>
      <c r="K84" s="217"/>
      <c r="L84" s="217"/>
      <c r="M84" s="229"/>
      <c r="N84" s="259"/>
      <c r="O84" s="259"/>
      <c r="S84" s="118"/>
      <c r="T84" s="68"/>
    </row>
    <row r="85" spans="1:20" s="57" customFormat="1" x14ac:dyDescent="0.25">
      <c r="A85" s="58"/>
      <c r="B85" s="58"/>
      <c r="C85" s="58"/>
      <c r="D85" s="58"/>
      <c r="E85" s="58"/>
      <c r="F85" s="97"/>
      <c r="G85" s="58"/>
      <c r="H85" s="59"/>
      <c r="I85" s="59"/>
      <c r="J85" s="59"/>
      <c r="K85" s="192"/>
      <c r="L85" s="69"/>
      <c r="M85" s="113"/>
      <c r="O85" s="58"/>
      <c r="P85" s="58"/>
      <c r="Q85" s="58"/>
      <c r="R85" s="58"/>
      <c r="S85" s="68"/>
      <c r="T85" s="68"/>
    </row>
    <row r="86" spans="1:20" x14ac:dyDescent="0.25">
      <c r="S86" s="68"/>
      <c r="T86" s="68"/>
    </row>
    <row r="87" spans="1:20" x14ac:dyDescent="0.25">
      <c r="S87" s="68"/>
      <c r="T87" s="68"/>
    </row>
    <row r="88" spans="1:20" x14ac:dyDescent="0.25">
      <c r="S88" s="68"/>
      <c r="T88" s="68"/>
    </row>
  </sheetData>
  <mergeCells count="141">
    <mergeCell ref="I6:I8"/>
    <mergeCell ref="J6:J8"/>
    <mergeCell ref="M8:O8"/>
    <mergeCell ref="E84:G84"/>
    <mergeCell ref="F47:H47"/>
    <mergeCell ref="E53:H53"/>
    <mergeCell ref="E62:H62"/>
    <mergeCell ref="F63:H63"/>
    <mergeCell ref="F65:H65"/>
    <mergeCell ref="F49:H49"/>
    <mergeCell ref="F50:H50"/>
    <mergeCell ref="F51:H51"/>
    <mergeCell ref="F56:H56"/>
    <mergeCell ref="F60:H60"/>
    <mergeCell ref="F67:H67"/>
    <mergeCell ref="F72:H72"/>
    <mergeCell ref="I12:J12"/>
    <mergeCell ref="F45:H45"/>
    <mergeCell ref="F15:H15"/>
    <mergeCell ref="F34:H34"/>
    <mergeCell ref="F36:H36"/>
    <mergeCell ref="E39:H39"/>
    <mergeCell ref="E17:H17"/>
    <mergeCell ref="F23:H23"/>
    <mergeCell ref="E24:H24"/>
    <mergeCell ref="F25:H25"/>
    <mergeCell ref="F26:H26"/>
    <mergeCell ref="F31:H31"/>
    <mergeCell ref="F35:H35"/>
    <mergeCell ref="P3:R3"/>
    <mergeCell ref="P4:R4"/>
    <mergeCell ref="I34:J34"/>
    <mergeCell ref="I25:J25"/>
    <mergeCell ref="E9:H9"/>
    <mergeCell ref="F13:H13"/>
    <mergeCell ref="F10:H10"/>
    <mergeCell ref="I10:J10"/>
    <mergeCell ref="I11:J11"/>
    <mergeCell ref="I13:J13"/>
    <mergeCell ref="F11:H11"/>
    <mergeCell ref="F12:H12"/>
    <mergeCell ref="F14:H14"/>
    <mergeCell ref="M10:O10"/>
    <mergeCell ref="M11:O11"/>
    <mergeCell ref="M12:O12"/>
    <mergeCell ref="E33:H33"/>
    <mergeCell ref="F18:H18"/>
    <mergeCell ref="F19:H19"/>
    <mergeCell ref="F20:H20"/>
    <mergeCell ref="F21:H21"/>
    <mergeCell ref="F22:H22"/>
    <mergeCell ref="F27:H27"/>
    <mergeCell ref="F28:H28"/>
    <mergeCell ref="F82:H82"/>
    <mergeCell ref="I54:J54"/>
    <mergeCell ref="F55:H55"/>
    <mergeCell ref="I55:J55"/>
    <mergeCell ref="F57:H57"/>
    <mergeCell ref="F58:H58"/>
    <mergeCell ref="I63:J63"/>
    <mergeCell ref="I65:J65"/>
    <mergeCell ref="E71:H71"/>
    <mergeCell ref="F69:H69"/>
    <mergeCell ref="F68:H68"/>
    <mergeCell ref="F54:H54"/>
    <mergeCell ref="F59:H59"/>
    <mergeCell ref="F64:H64"/>
    <mergeCell ref="F66:H66"/>
    <mergeCell ref="M13:O13"/>
    <mergeCell ref="M14:O14"/>
    <mergeCell ref="M15:O15"/>
    <mergeCell ref="M18:O18"/>
    <mergeCell ref="M19:O19"/>
    <mergeCell ref="F43:H43"/>
    <mergeCell ref="I43:J43"/>
    <mergeCell ref="F41:H41"/>
    <mergeCell ref="I64:J64"/>
    <mergeCell ref="I44:J44"/>
    <mergeCell ref="I42:J42"/>
    <mergeCell ref="F44:H44"/>
    <mergeCell ref="F42:H42"/>
    <mergeCell ref="F37:H37"/>
    <mergeCell ref="F40:H40"/>
    <mergeCell ref="F29:H29"/>
    <mergeCell ref="F30:H30"/>
    <mergeCell ref="I40:J40"/>
    <mergeCell ref="I41:J41"/>
    <mergeCell ref="I35:J35"/>
    <mergeCell ref="F46:H46"/>
    <mergeCell ref="F48:H48"/>
    <mergeCell ref="M27:O27"/>
    <mergeCell ref="M28:O28"/>
    <mergeCell ref="M29:O29"/>
    <mergeCell ref="M30:O30"/>
    <mergeCell ref="M31:O31"/>
    <mergeCell ref="M20:O20"/>
    <mergeCell ref="M21:O21"/>
    <mergeCell ref="M22:O22"/>
    <mergeCell ref="M25:O25"/>
    <mergeCell ref="M26:O26"/>
    <mergeCell ref="M41:O41"/>
    <mergeCell ref="M42:O42"/>
    <mergeCell ref="M43:O43"/>
    <mergeCell ref="M44:O44"/>
    <mergeCell ref="M45:O45"/>
    <mergeCell ref="M34:O34"/>
    <mergeCell ref="M35:O35"/>
    <mergeCell ref="M36:O36"/>
    <mergeCell ref="M37:O37"/>
    <mergeCell ref="M40:O40"/>
    <mergeCell ref="M51:O51"/>
    <mergeCell ref="M54:O54"/>
    <mergeCell ref="M55:O55"/>
    <mergeCell ref="M56:O56"/>
    <mergeCell ref="M57:O57"/>
    <mergeCell ref="M46:O46"/>
    <mergeCell ref="M47:O47"/>
    <mergeCell ref="M48:O48"/>
    <mergeCell ref="M49:O49"/>
    <mergeCell ref="M50:O50"/>
    <mergeCell ref="M65:O65"/>
    <mergeCell ref="M66:O66"/>
    <mergeCell ref="M67:O67"/>
    <mergeCell ref="M68:O68"/>
    <mergeCell ref="M69:O69"/>
    <mergeCell ref="M58:O58"/>
    <mergeCell ref="M59:O59"/>
    <mergeCell ref="M60:O60"/>
    <mergeCell ref="M63:O63"/>
    <mergeCell ref="M64:O64"/>
    <mergeCell ref="M72:O72"/>
    <mergeCell ref="M82:O82"/>
    <mergeCell ref="M73:O73"/>
    <mergeCell ref="M74:O74"/>
    <mergeCell ref="M75:O75"/>
    <mergeCell ref="M76:O76"/>
    <mergeCell ref="M77:O77"/>
    <mergeCell ref="M78:O78"/>
    <mergeCell ref="M79:O79"/>
    <mergeCell ref="M80:O80"/>
    <mergeCell ref="M81:O81"/>
  </mergeCells>
  <phoneticPr fontId="17" type="noConversion"/>
  <conditionalFormatting sqref="A14">
    <cfRule type="expression" dxfId="131" priority="57">
      <formula>$A$14&gt;$I$14</formula>
    </cfRule>
  </conditionalFormatting>
  <conditionalFormatting sqref="A15">
    <cfRule type="expression" dxfId="130" priority="4">
      <formula>$A$15&gt;$I$15</formula>
    </cfRule>
  </conditionalFormatting>
  <conditionalFormatting sqref="A18">
    <cfRule type="expression" dxfId="129" priority="201">
      <formula>$A$18&gt;$I$18</formula>
    </cfRule>
  </conditionalFormatting>
  <conditionalFormatting sqref="A19">
    <cfRule type="expression" dxfId="128" priority="189">
      <formula>$A$19&gt;$I$19</formula>
    </cfRule>
  </conditionalFormatting>
  <conditionalFormatting sqref="A20">
    <cfRule type="expression" dxfId="127" priority="185">
      <formula>$A$20&gt;$I$20</formula>
    </cfRule>
  </conditionalFormatting>
  <conditionalFormatting sqref="A21">
    <cfRule type="expression" dxfId="126" priority="53">
      <formula>$A$21&gt;$I$21</formula>
    </cfRule>
  </conditionalFormatting>
  <conditionalFormatting sqref="A22">
    <cfRule type="expression" dxfId="125" priority="49">
      <formula>$A$22&gt;$I$22</formula>
    </cfRule>
  </conditionalFormatting>
  <conditionalFormatting sqref="A26">
    <cfRule type="expression" dxfId="124" priority="166">
      <formula>$A$26&gt;$I$26</formula>
    </cfRule>
  </conditionalFormatting>
  <conditionalFormatting sqref="A27">
    <cfRule type="expression" dxfId="123" priority="45">
      <formula>$A$27&gt;$I$27</formula>
    </cfRule>
  </conditionalFormatting>
  <conditionalFormatting sqref="A28">
    <cfRule type="expression" dxfId="122" priority="41">
      <formula>$A$28&gt;$I$28</formula>
    </cfRule>
  </conditionalFormatting>
  <conditionalFormatting sqref="A29">
    <cfRule type="expression" dxfId="121" priority="37">
      <formula>$A$29&gt;$I$29</formula>
    </cfRule>
  </conditionalFormatting>
  <conditionalFormatting sqref="A30">
    <cfRule type="expression" dxfId="120" priority="33">
      <formula>$A$30&gt;$I$30</formula>
    </cfRule>
  </conditionalFormatting>
  <conditionalFormatting sqref="A31">
    <cfRule type="expression" dxfId="119" priority="29">
      <formula>$A$31&gt;$I$31</formula>
    </cfRule>
  </conditionalFormatting>
  <conditionalFormatting sqref="A36">
    <cfRule type="expression" dxfId="118" priority="162">
      <formula>$A$36&gt;$I$36</formula>
    </cfRule>
  </conditionalFormatting>
  <conditionalFormatting sqref="A37">
    <cfRule type="expression" dxfId="117" priority="158">
      <formula>$A$37&gt;$I$37</formula>
    </cfRule>
  </conditionalFormatting>
  <conditionalFormatting sqref="A45">
    <cfRule type="expression" dxfId="116" priority="149">
      <formula>$A$45&gt;$I$45</formula>
    </cfRule>
  </conditionalFormatting>
  <conditionalFormatting sqref="A46">
    <cfRule type="expression" dxfId="115" priority="144">
      <formula>$A$46&gt;$I$46</formula>
    </cfRule>
  </conditionalFormatting>
  <conditionalFormatting sqref="A47">
    <cfRule type="expression" dxfId="114" priority="140">
      <formula>$A$47&gt;$I$47</formula>
    </cfRule>
  </conditionalFormatting>
  <conditionalFormatting sqref="A48">
    <cfRule type="expression" dxfId="113" priority="136">
      <formula>$A$48&gt;$I$48</formula>
    </cfRule>
  </conditionalFormatting>
  <conditionalFormatting sqref="A49">
    <cfRule type="expression" dxfId="112" priority="132">
      <formula>$A$49&gt;$I$49</formula>
    </cfRule>
  </conditionalFormatting>
  <conditionalFormatting sqref="A50">
    <cfRule type="expression" dxfId="111" priority="128">
      <formula>$A$50&gt;$I$50</formula>
    </cfRule>
  </conditionalFormatting>
  <conditionalFormatting sqref="A51">
    <cfRule type="expression" dxfId="110" priority="124">
      <formula>$A$51&gt;$I$51</formula>
    </cfRule>
  </conditionalFormatting>
  <conditionalFormatting sqref="A56">
    <cfRule type="expression" dxfId="109" priority="115">
      <formula>$A$56&gt;$I$56</formula>
    </cfRule>
  </conditionalFormatting>
  <conditionalFormatting sqref="A57">
    <cfRule type="expression" dxfId="108" priority="25">
      <formula>$A$57&gt;$I$57</formula>
    </cfRule>
  </conditionalFormatting>
  <conditionalFormatting sqref="A58">
    <cfRule type="expression" dxfId="107" priority="20">
      <formula>$A$58&gt;$I$58</formula>
    </cfRule>
  </conditionalFormatting>
  <conditionalFormatting sqref="A59">
    <cfRule type="expression" dxfId="106" priority="16">
      <formula>$A$59&gt;$I$59</formula>
    </cfRule>
  </conditionalFormatting>
  <conditionalFormatting sqref="A60">
    <cfRule type="expression" dxfId="105" priority="12">
      <formula>$A$60&gt;$I$60</formula>
    </cfRule>
  </conditionalFormatting>
  <conditionalFormatting sqref="A66">
    <cfRule type="expression" dxfId="104" priority="102">
      <formula>$A$66&gt;$I$66</formula>
    </cfRule>
  </conditionalFormatting>
  <conditionalFormatting sqref="A67">
    <cfRule type="expression" dxfId="103" priority="98">
      <formula>$A$67&gt;$I$67</formula>
    </cfRule>
  </conditionalFormatting>
  <conditionalFormatting sqref="A68">
    <cfRule type="expression" dxfId="102" priority="94">
      <formula>$A$68&gt;$I$68</formula>
    </cfRule>
  </conditionalFormatting>
  <conditionalFormatting sqref="A69">
    <cfRule type="expression" dxfId="101" priority="90">
      <formula>$A$69&gt;$I$69</formula>
    </cfRule>
  </conditionalFormatting>
  <conditionalFormatting sqref="A82">
    <cfRule type="expression" dxfId="100" priority="8">
      <formula>$A$82&gt;$I$82</formula>
    </cfRule>
  </conditionalFormatting>
  <conditionalFormatting sqref="A14:C14 J14">
    <cfRule type="expression" dxfId="99" priority="54">
      <formula>$J$14&gt;$I$14</formula>
    </cfRule>
  </conditionalFormatting>
  <conditionalFormatting sqref="A15:C15 J15">
    <cfRule type="expression" dxfId="98" priority="1">
      <formula>$J$15&gt;$I$15</formula>
    </cfRule>
  </conditionalFormatting>
  <conditionalFormatting sqref="A18:C18 J18">
    <cfRule type="expression" dxfId="97" priority="204">
      <formula>$J$18&gt;$I$18</formula>
    </cfRule>
  </conditionalFormatting>
  <conditionalFormatting sqref="A19:C19 J19">
    <cfRule type="expression" dxfId="96" priority="186">
      <formula>$J$19&gt;$I$19</formula>
    </cfRule>
  </conditionalFormatting>
  <conditionalFormatting sqref="A20:C20 J20">
    <cfRule type="expression" dxfId="95" priority="181">
      <formula>$J$20&gt;$I$20</formula>
    </cfRule>
  </conditionalFormatting>
  <conditionalFormatting sqref="A21:C21 J21">
    <cfRule type="expression" dxfId="94" priority="50">
      <formula>$J$21&gt;$I$21</formula>
    </cfRule>
  </conditionalFormatting>
  <conditionalFormatting sqref="A22:C22 J22">
    <cfRule type="expression" dxfId="93" priority="46">
      <formula>$J$22&gt;$I$22</formula>
    </cfRule>
  </conditionalFormatting>
  <conditionalFormatting sqref="A26:C26 J26">
    <cfRule type="expression" dxfId="92" priority="163">
      <formula>$J$26&gt;$I$26</formula>
    </cfRule>
  </conditionalFormatting>
  <conditionalFormatting sqref="A27:C27 J27">
    <cfRule type="expression" dxfId="91" priority="42">
      <formula>$J$27&gt;$I$27</formula>
    </cfRule>
  </conditionalFormatting>
  <conditionalFormatting sqref="A28:C28 J28">
    <cfRule type="expression" dxfId="90" priority="38">
      <formula>$J$28&gt;$I$28</formula>
    </cfRule>
  </conditionalFormatting>
  <conditionalFormatting sqref="A29:C29 J29">
    <cfRule type="expression" dxfId="89" priority="34">
      <formula>$J$29&gt;$I$29</formula>
    </cfRule>
  </conditionalFormatting>
  <conditionalFormatting sqref="A30:C30 J30">
    <cfRule type="expression" dxfId="88" priority="30">
      <formula>$J$30&gt;$I$30</formula>
    </cfRule>
  </conditionalFormatting>
  <conditionalFormatting sqref="A31:C31 J31">
    <cfRule type="expression" dxfId="87" priority="26">
      <formula>$J$31&gt;$I$31</formula>
    </cfRule>
  </conditionalFormatting>
  <conditionalFormatting sqref="A36:C36 J36">
    <cfRule type="expression" dxfId="86" priority="159">
      <formula>$J$36&gt;$I$36</formula>
    </cfRule>
  </conditionalFormatting>
  <conditionalFormatting sqref="A37:C37 J37">
    <cfRule type="expression" dxfId="85" priority="155">
      <formula>$J$37&gt;$I$37</formula>
    </cfRule>
  </conditionalFormatting>
  <conditionalFormatting sqref="A45:C45 J45">
    <cfRule type="expression" dxfId="84" priority="146">
      <formula>$J$45&gt;$I$45</formula>
    </cfRule>
  </conditionalFormatting>
  <conditionalFormatting sqref="A46:C46 J46">
    <cfRule type="expression" dxfId="83" priority="145">
      <formula>$J$46&gt;$I$46</formula>
    </cfRule>
  </conditionalFormatting>
  <conditionalFormatting sqref="A47:C47 J47">
    <cfRule type="expression" dxfId="82" priority="141">
      <formula>$J$47&gt;$I$47</formula>
    </cfRule>
  </conditionalFormatting>
  <conditionalFormatting sqref="A48:C48 J48">
    <cfRule type="expression" dxfId="81" priority="137">
      <formula>$J$48&gt;$I$48</formula>
    </cfRule>
  </conditionalFormatting>
  <conditionalFormatting sqref="A49:C49 J49">
    <cfRule type="expression" dxfId="80" priority="133">
      <formula>$J$49&gt;$I$49</formula>
    </cfRule>
  </conditionalFormatting>
  <conditionalFormatting sqref="A50:C50 J50">
    <cfRule type="expression" dxfId="79" priority="129">
      <formula>$J$50&gt;$I$50</formula>
    </cfRule>
  </conditionalFormatting>
  <conditionalFormatting sqref="A51:C51 J51">
    <cfRule type="expression" dxfId="78" priority="125">
      <formula>$J$51&gt;$I$51</formula>
    </cfRule>
  </conditionalFormatting>
  <conditionalFormatting sqref="A56:C56 J56">
    <cfRule type="expression" dxfId="77" priority="116">
      <formula>$J$56&gt;$I$56</formula>
    </cfRule>
  </conditionalFormatting>
  <conditionalFormatting sqref="A57:C57 J57">
    <cfRule type="expression" dxfId="76" priority="22">
      <formula>$J$57&gt;$I$57</formula>
    </cfRule>
  </conditionalFormatting>
  <conditionalFormatting sqref="A58:C58 J58">
    <cfRule type="expression" dxfId="75" priority="17">
      <formula>$J$58&gt;$I$58</formula>
    </cfRule>
  </conditionalFormatting>
  <conditionalFormatting sqref="A59:C59 J59">
    <cfRule type="expression" dxfId="74" priority="13">
      <formula>$J$59&gt;$I$59</formula>
    </cfRule>
  </conditionalFormatting>
  <conditionalFormatting sqref="A60:C60 J60">
    <cfRule type="expression" dxfId="73" priority="9">
      <formula>$J$60&gt;$I$60</formula>
    </cfRule>
  </conditionalFormatting>
  <conditionalFormatting sqref="A66:C66 J66">
    <cfRule type="expression" dxfId="72" priority="103">
      <formula>$J$66&gt;$I$66</formula>
    </cfRule>
  </conditionalFormatting>
  <conditionalFormatting sqref="A67:C67 J67">
    <cfRule type="expression" dxfId="71" priority="99">
      <formula>$J$67&gt;$I$67</formula>
    </cfRule>
  </conditionalFormatting>
  <conditionalFormatting sqref="A68:C68 J68">
    <cfRule type="expression" dxfId="70" priority="95">
      <formula>$J$68&gt;$I$68</formula>
    </cfRule>
  </conditionalFormatting>
  <conditionalFormatting sqref="A69:C69 J69">
    <cfRule type="expression" dxfId="69" priority="91">
      <formula>$J$69&gt;$I$69</formula>
    </cfRule>
  </conditionalFormatting>
  <conditionalFormatting sqref="A73:C81">
    <cfRule type="expression" dxfId="68" priority="65">
      <formula>$A$72&gt;$I$72</formula>
    </cfRule>
  </conditionalFormatting>
  <conditionalFormatting sqref="A82:C82 J82">
    <cfRule type="expression" dxfId="67" priority="5">
      <formula>$J$82&gt;$I$82</formula>
    </cfRule>
  </conditionalFormatting>
  <conditionalFormatting sqref="B14">
    <cfRule type="expression" dxfId="66" priority="56">
      <formula>$B$14&gt;$I$14</formula>
    </cfRule>
  </conditionalFormatting>
  <conditionalFormatting sqref="B15">
    <cfRule type="expression" dxfId="65" priority="3">
      <formula>$B$15&gt;$I$15</formula>
    </cfRule>
  </conditionalFormatting>
  <conditionalFormatting sqref="B18">
    <cfRule type="expression" dxfId="64" priority="202">
      <formula>$B$18&gt;$I$18</formula>
    </cfRule>
  </conditionalFormatting>
  <conditionalFormatting sqref="B19">
    <cfRule type="expression" dxfId="63" priority="188">
      <formula>$B$19&gt;$I$19</formula>
    </cfRule>
  </conditionalFormatting>
  <conditionalFormatting sqref="B20">
    <cfRule type="expression" dxfId="62" priority="183">
      <formula>$B$20&gt;$I$20</formula>
    </cfRule>
  </conditionalFormatting>
  <conditionalFormatting sqref="B21">
    <cfRule type="expression" dxfId="61" priority="52">
      <formula>$B$21&gt;$I$21</formula>
    </cfRule>
  </conditionalFormatting>
  <conditionalFormatting sqref="B22">
    <cfRule type="expression" dxfId="60" priority="48">
      <formula>$B$22&gt;$I$22</formula>
    </cfRule>
  </conditionalFormatting>
  <conditionalFormatting sqref="B26">
    <cfRule type="expression" dxfId="59" priority="165">
      <formula>$B$26&gt;$I$26</formula>
    </cfRule>
  </conditionalFormatting>
  <conditionalFormatting sqref="B27">
    <cfRule type="expression" dxfId="58" priority="44">
      <formula>$B$27&gt;$I$27</formula>
    </cfRule>
  </conditionalFormatting>
  <conditionalFormatting sqref="B28">
    <cfRule type="expression" dxfId="57" priority="40">
      <formula>$B$28&gt;$I$28</formula>
    </cfRule>
  </conditionalFormatting>
  <conditionalFormatting sqref="B29">
    <cfRule type="expression" dxfId="56" priority="36">
      <formula>$B$29&gt;$I$29</formula>
    </cfRule>
  </conditionalFormatting>
  <conditionalFormatting sqref="B30">
    <cfRule type="expression" dxfId="55" priority="32">
      <formula>$B$30&gt;$I$30</formula>
    </cfRule>
  </conditionalFormatting>
  <conditionalFormatting sqref="B31">
    <cfRule type="expression" dxfId="54" priority="28">
      <formula>$B$31&gt;$I$31</formula>
    </cfRule>
  </conditionalFormatting>
  <conditionalFormatting sqref="B36">
    <cfRule type="expression" dxfId="53" priority="161">
      <formula>$B$36&gt;$I$36</formula>
    </cfRule>
  </conditionalFormatting>
  <conditionalFormatting sqref="B37">
    <cfRule type="expression" dxfId="52" priority="157">
      <formula>$B$37&gt;$I$37</formula>
    </cfRule>
  </conditionalFormatting>
  <conditionalFormatting sqref="B45">
    <cfRule type="expression" dxfId="51" priority="148">
      <formula>$B$45&gt;$I$45</formula>
    </cfRule>
  </conditionalFormatting>
  <conditionalFormatting sqref="B46">
    <cfRule type="expression" dxfId="50" priority="143">
      <formula>$B$46&gt;$I$46</formula>
    </cfRule>
  </conditionalFormatting>
  <conditionalFormatting sqref="B47">
    <cfRule type="expression" dxfId="49" priority="139">
      <formula>$B$47&gt;$I$47</formula>
    </cfRule>
  </conditionalFormatting>
  <conditionalFormatting sqref="B48">
    <cfRule type="expression" dxfId="48" priority="135">
      <formula>$B$48&gt;$I$48</formula>
    </cfRule>
  </conditionalFormatting>
  <conditionalFormatting sqref="B49">
    <cfRule type="expression" dxfId="47" priority="131">
      <formula>$B$49&gt;$I$49</formula>
    </cfRule>
  </conditionalFormatting>
  <conditionalFormatting sqref="B50">
    <cfRule type="expression" dxfId="46" priority="127">
      <formula>$B$50&gt;$I$50</formula>
    </cfRule>
  </conditionalFormatting>
  <conditionalFormatting sqref="B51">
    <cfRule type="expression" dxfId="45" priority="123">
      <formula>$B$51&gt;$I$51</formula>
    </cfRule>
  </conditionalFormatting>
  <conditionalFormatting sqref="B56">
    <cfRule type="expression" dxfId="44" priority="114">
      <formula>$B$56&gt;$I$56</formula>
    </cfRule>
  </conditionalFormatting>
  <conditionalFormatting sqref="B57">
    <cfRule type="expression" dxfId="43" priority="24">
      <formula>$B$57&gt;$I$57</formula>
    </cfRule>
  </conditionalFormatting>
  <conditionalFormatting sqref="B58">
    <cfRule type="expression" dxfId="42" priority="19">
      <formula>$B$58&gt;$I$58</formula>
    </cfRule>
  </conditionalFormatting>
  <conditionalFormatting sqref="B59">
    <cfRule type="expression" dxfId="41" priority="15">
      <formula>$B$59&gt;$I$59</formula>
    </cfRule>
  </conditionalFormatting>
  <conditionalFormatting sqref="B60">
    <cfRule type="expression" dxfId="40" priority="11">
      <formula>$B$60&gt;$I$60</formula>
    </cfRule>
  </conditionalFormatting>
  <conditionalFormatting sqref="B66">
    <cfRule type="expression" dxfId="39" priority="101">
      <formula>$B$66&gt;$I$66</formula>
    </cfRule>
  </conditionalFormatting>
  <conditionalFormatting sqref="B67">
    <cfRule type="expression" dxfId="38" priority="97">
      <formula>$B$67&gt;$I$67</formula>
    </cfRule>
  </conditionalFormatting>
  <conditionalFormatting sqref="B68">
    <cfRule type="expression" dxfId="37" priority="93">
      <formula>$B$68&gt;$I$68</formula>
    </cfRule>
  </conditionalFormatting>
  <conditionalFormatting sqref="B69">
    <cfRule type="expression" dxfId="36" priority="89">
      <formula>$B$69&gt;$I$69</formula>
    </cfRule>
  </conditionalFormatting>
  <conditionalFormatting sqref="B73:B81">
    <cfRule type="expression" dxfId="35" priority="64">
      <formula>$B$72&gt;$I$72</formula>
    </cfRule>
  </conditionalFormatting>
  <conditionalFormatting sqref="B82">
    <cfRule type="expression" dxfId="34" priority="7">
      <formula>$B$82&gt;$I$82</formula>
    </cfRule>
  </conditionalFormatting>
  <conditionalFormatting sqref="C14">
    <cfRule type="expression" dxfId="33" priority="55">
      <formula>$C$14&gt;$I$14</formula>
    </cfRule>
  </conditionalFormatting>
  <conditionalFormatting sqref="C15">
    <cfRule type="expression" dxfId="32" priority="2">
      <formula>$C$15&gt;$I$15</formula>
    </cfRule>
  </conditionalFormatting>
  <conditionalFormatting sqref="C18">
    <cfRule type="expression" dxfId="31" priority="203">
      <formula>$C$18&gt;$I$18</formula>
    </cfRule>
  </conditionalFormatting>
  <conditionalFormatting sqref="C19">
    <cfRule type="expression" dxfId="30" priority="187">
      <formula>$C$19&gt;$I$19</formula>
    </cfRule>
  </conditionalFormatting>
  <conditionalFormatting sqref="C20">
    <cfRule type="expression" dxfId="29" priority="182">
      <formula>$C$20&gt;$I$20</formula>
    </cfRule>
  </conditionalFormatting>
  <conditionalFormatting sqref="C21">
    <cfRule type="expression" dxfId="28" priority="51">
      <formula>$C$21&gt;$I$21</formula>
    </cfRule>
  </conditionalFormatting>
  <conditionalFormatting sqref="C22">
    <cfRule type="expression" dxfId="27" priority="47">
      <formula>$C$22&gt;$I$22</formula>
    </cfRule>
  </conditionalFormatting>
  <conditionalFormatting sqref="C26">
    <cfRule type="expression" dxfId="26" priority="164">
      <formula>$C$26&gt;$I$26</formula>
    </cfRule>
  </conditionalFormatting>
  <conditionalFormatting sqref="C27">
    <cfRule type="expression" dxfId="25" priority="43">
      <formula>$C$27&gt;$I$27</formula>
    </cfRule>
  </conditionalFormatting>
  <conditionalFormatting sqref="C28">
    <cfRule type="expression" dxfId="24" priority="39">
      <formula>$C$28&gt;$I$28</formula>
    </cfRule>
  </conditionalFormatting>
  <conditionalFormatting sqref="C29">
    <cfRule type="expression" dxfId="23" priority="35">
      <formula>$C$29&gt;$I$29</formula>
    </cfRule>
  </conditionalFormatting>
  <conditionalFormatting sqref="C30">
    <cfRule type="expression" dxfId="22" priority="31">
      <formula>$C$30&gt;$I$30</formula>
    </cfRule>
  </conditionalFormatting>
  <conditionalFormatting sqref="C31">
    <cfRule type="expression" dxfId="21" priority="27">
      <formula>$C$31&gt;$I$31</formula>
    </cfRule>
  </conditionalFormatting>
  <conditionalFormatting sqref="C36">
    <cfRule type="expression" dxfId="20" priority="160">
      <formula>$C$36&gt;$I$36</formula>
    </cfRule>
  </conditionalFormatting>
  <conditionalFormatting sqref="C37">
    <cfRule type="expression" dxfId="19" priority="156">
      <formula>$C$37&gt;$I$37</formula>
    </cfRule>
  </conditionalFormatting>
  <conditionalFormatting sqref="C45">
    <cfRule type="expression" dxfId="18" priority="147">
      <formula>$C$45&gt;$I$45</formula>
    </cfRule>
  </conditionalFormatting>
  <conditionalFormatting sqref="C46">
    <cfRule type="expression" dxfId="17" priority="142">
      <formula>$C$46&gt;$I$46</formula>
    </cfRule>
  </conditionalFormatting>
  <conditionalFormatting sqref="C47">
    <cfRule type="expression" dxfId="16" priority="138">
      <formula>$C$47&gt;$I$47</formula>
    </cfRule>
  </conditionalFormatting>
  <conditionalFormatting sqref="C48">
    <cfRule type="expression" dxfId="15" priority="134">
      <formula>$C$48&gt;$I$48</formula>
    </cfRule>
  </conditionalFormatting>
  <conditionalFormatting sqref="C49">
    <cfRule type="expression" dxfId="14" priority="130">
      <formula>$C$49&gt;$I$49</formula>
    </cfRule>
  </conditionalFormatting>
  <conditionalFormatting sqref="C50">
    <cfRule type="expression" dxfId="13" priority="126">
      <formula>$C$50&gt;$I$50</formula>
    </cfRule>
  </conditionalFormatting>
  <conditionalFormatting sqref="C51">
    <cfRule type="expression" dxfId="12" priority="122">
      <formula>$C$51&gt;$I$51</formula>
    </cfRule>
  </conditionalFormatting>
  <conditionalFormatting sqref="C56">
    <cfRule type="expression" dxfId="11" priority="113">
      <formula>$C$56&gt;$I$56</formula>
    </cfRule>
  </conditionalFormatting>
  <conditionalFormatting sqref="C57">
    <cfRule type="expression" dxfId="10" priority="23">
      <formula>$C$57&gt;$I$57</formula>
    </cfRule>
  </conditionalFormatting>
  <conditionalFormatting sqref="C58">
    <cfRule type="expression" dxfId="9" priority="18">
      <formula>$C$58&gt;$I$58</formula>
    </cfRule>
  </conditionalFormatting>
  <conditionalFormatting sqref="C59">
    <cfRule type="expression" dxfId="8" priority="14">
      <formula>$C$59&gt;$I$59</formula>
    </cfRule>
  </conditionalFormatting>
  <conditionalFormatting sqref="C60">
    <cfRule type="expression" dxfId="7" priority="10">
      <formula>$C$60&gt;$I$60</formula>
    </cfRule>
  </conditionalFormatting>
  <conditionalFormatting sqref="C66">
    <cfRule type="expression" dxfId="6" priority="100">
      <formula>$C$66&gt;$I$66</formula>
    </cfRule>
  </conditionalFormatting>
  <conditionalFormatting sqref="C67">
    <cfRule type="expression" dxfId="5" priority="96">
      <formula>$C$67&gt;$I$67</formula>
    </cfRule>
  </conditionalFormatting>
  <conditionalFormatting sqref="C68">
    <cfRule type="expression" dxfId="4" priority="92">
      <formula>$C$68&gt;$I$68</formula>
    </cfRule>
  </conditionalFormatting>
  <conditionalFormatting sqref="C69">
    <cfRule type="expression" dxfId="3" priority="88">
      <formula>$C$69&gt;$I$69</formula>
    </cfRule>
  </conditionalFormatting>
  <conditionalFormatting sqref="C73:C81">
    <cfRule type="expression" dxfId="2" priority="63">
      <formula>$C$72&gt;$I$72</formula>
    </cfRule>
  </conditionalFormatting>
  <conditionalFormatting sqref="C82">
    <cfRule type="expression" dxfId="1" priority="6">
      <formula>$C$82&gt;$I$82</formula>
    </cfRule>
  </conditionalFormatting>
  <conditionalFormatting sqref="J72:J81 A73:C81">
    <cfRule type="expression" dxfId="0" priority="66">
      <formula>$J$72&gt;$I$72</formula>
    </cfRule>
  </conditionalFormatting>
  <dataValidations count="4">
    <dataValidation type="custom" errorStyle="warning" allowBlank="1" showInputMessage="1" showErrorMessage="1" errorTitle="Too many points" error="Number of total planned points is higher than total possible points." sqref="J66:J69 J26:J31 J36:J37 J18:J22 J45:J51 J56:J60 J72:J82" xr:uid="{1BF333D3-E171-4ACD-AF1E-3DE4332ADDCF}">
      <formula1>J18&lt;=I18</formula1>
    </dataValidation>
    <dataValidation type="custom" errorStyle="warning" allowBlank="1" showInputMessage="1" showErrorMessage="1" errorTitle="Point Limit Exceeded." error="The value entered is too high. Please ensure number of planned points does not exceed the maximum possible points for this credit." sqref="A18:A22 A36:A37 A45:A51 A56:A60 A66:A69 A26:A31 A72 A82" xr:uid="{590C7B3F-352F-410A-A2AC-CA645600AD53}">
      <formula1>A18&lt;=$I18</formula1>
    </dataValidation>
    <dataValidation type="custom" errorStyle="warning" allowBlank="1" showInputMessage="1" showErrorMessage="1" errorTitle="Point Limit Exceeded." error="The value entered is too high. Please ensure the number of planned points does not exceed the maximum possible points for this credit." sqref="B18:C22 B36:C37 B45:C51 B56:C60 B66:C69 B26:C31 B72:C72 B82:C82" xr:uid="{4D311D02-44BF-4B2A-9B37-321CA722F03C}">
      <formula1>B18&lt;=$I18</formula1>
    </dataValidation>
    <dataValidation type="custom" errorStyle="warning" allowBlank="1" showInputMessage="1" showErrorMessage="1" errorTitle="Point Limit Exceeded." error="The value entered is too high. Please ensure number of planned points does not exceed the maximum possible points for this credit." sqref="A73:C81" xr:uid="{3F612F23-B616-4FDD-8507-851E0527AA0E}">
      <formula1>A73&lt;=$I$72</formula1>
    </dataValidation>
  </dataValidations>
  <pageMargins left="0.7" right="0.7" top="0.75" bottom="0.75" header="0.3" footer="0.3"/>
  <pageSetup scale="41" orientation="portrait" r:id="rId1"/>
  <ignoredErrors>
    <ignoredError sqref="I83:J83 J27:J31 J21:J22 J18 J19:J20 J15 I63:J63 I40:J42 I34:J34 I70:J70 J66:J69 I61:J61 J56 I52:J52 J45:J51 I65:J65 I38:J38 J36:J37 I32:J32 J26 I23:J23 I44:J44 I16:J16 I14:J14 I17 I54:J55 I25:J25 I27:I31 I26 I33 I39 I36:I37 I71 I45:I51 I57:J60 I56 I62 I66:I69 I82:J82 I72 I35:J35 I43:J43 I64:J64 I15 I21:I22 I19:I20 I18 I24 I53 J73:J81" formulaRange="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B0F67D-FE2A-964A-A345-BDA06F1485F9}">
  <sheetPr>
    <pageSetUpPr fitToPage="1"/>
  </sheetPr>
  <dimension ref="A1:AG48"/>
  <sheetViews>
    <sheetView zoomScale="70" zoomScaleNormal="70" workbookViewId="0">
      <pane ySplit="5" topLeftCell="A6" activePane="bottomLeft" state="frozen"/>
      <selection pane="bottomLeft" activeCell="A2" sqref="A2"/>
    </sheetView>
  </sheetViews>
  <sheetFormatPr defaultColWidth="8.6640625" defaultRowHeight="17.399999999999999" x14ac:dyDescent="0.3"/>
  <cols>
    <col min="1" max="3" width="10" style="5" customWidth="1"/>
    <col min="4" max="4" width="10.44140625" style="3" bestFit="1" customWidth="1"/>
    <col min="5" max="5" width="6.5546875" style="3" customWidth="1"/>
    <col min="6" max="6" width="54.44140625" style="3" bestFit="1" customWidth="1"/>
    <col min="7" max="7" width="5.44140625" style="212" customWidth="1"/>
    <col min="8" max="8" width="4.33203125" style="3" customWidth="1"/>
    <col min="9" max="11" width="10" style="5" customWidth="1"/>
    <col min="12" max="12" width="10.6640625" style="3" bestFit="1" customWidth="1"/>
    <col min="13" max="13" width="6.5546875" style="3" customWidth="1"/>
    <col min="14" max="14" width="45.33203125" style="3" customWidth="1"/>
    <col min="15" max="15" width="5.44140625" style="212" customWidth="1"/>
    <col min="16" max="16" width="4.33203125" style="3" customWidth="1"/>
    <col min="17" max="19" width="10" style="5" customWidth="1"/>
    <col min="20" max="20" width="10.77734375" style="3" bestFit="1" customWidth="1"/>
    <col min="21" max="21" width="6.6640625" style="3" bestFit="1" customWidth="1"/>
    <col min="22" max="22" width="45.33203125" style="3" customWidth="1"/>
    <col min="23" max="23" width="5.44140625" style="212" customWidth="1"/>
    <col min="24" max="24" width="5.44140625" style="4" customWidth="1"/>
    <col min="25" max="25" width="6.88671875" style="19" customWidth="1"/>
    <col min="26" max="26" width="11.109375" style="3" customWidth="1"/>
    <col min="27" max="27" width="9.44140625" style="3" customWidth="1"/>
    <col min="28" max="16384" width="8.6640625" style="3"/>
  </cols>
  <sheetData>
    <row r="1" spans="1:33" s="1" customFormat="1" ht="25.2" customHeight="1" x14ac:dyDescent="0.3">
      <c r="A1" s="13"/>
      <c r="B1" s="13"/>
      <c r="C1" s="13"/>
      <c r="D1" s="13"/>
      <c r="E1" s="13"/>
      <c r="F1" s="13"/>
      <c r="G1" s="212"/>
      <c r="H1" s="3"/>
      <c r="O1" s="212"/>
      <c r="P1" s="2"/>
      <c r="Q1" s="13"/>
      <c r="R1" s="13"/>
      <c r="S1" s="13"/>
      <c r="W1" s="212"/>
      <c r="Y1" s="20"/>
      <c r="Z1" s="6"/>
      <c r="AA1" s="6"/>
      <c r="AB1" s="6"/>
    </row>
    <row r="2" spans="1:33" s="1" customFormat="1" ht="24.6" customHeight="1" x14ac:dyDescent="0.25">
      <c r="A2" s="101" t="s">
        <v>156</v>
      </c>
      <c r="B2" s="43"/>
      <c r="D2" s="102"/>
      <c r="E2" s="102"/>
      <c r="F2" s="102"/>
      <c r="G2" s="212"/>
      <c r="H2" s="102"/>
      <c r="O2" s="212"/>
      <c r="P2" s="15"/>
      <c r="Q2" s="13"/>
      <c r="R2" s="13"/>
      <c r="W2" s="212"/>
      <c r="Y2" s="15"/>
      <c r="Z2" s="6"/>
      <c r="AA2" s="6"/>
      <c r="AB2" s="6"/>
    </row>
    <row r="3" spans="1:33" s="1" customFormat="1" ht="24.6" customHeight="1" x14ac:dyDescent="0.25">
      <c r="A3" s="260" t="s">
        <v>23</v>
      </c>
      <c r="B3" s="43"/>
      <c r="D3" s="103"/>
      <c r="G3" s="212"/>
      <c r="I3" s="43"/>
      <c r="M3" s="39"/>
      <c r="O3" s="212"/>
      <c r="Q3" s="13"/>
      <c r="R3" s="13"/>
      <c r="W3" s="192"/>
      <c r="Z3" s="6"/>
      <c r="AA3" s="6"/>
      <c r="AB3" s="6"/>
    </row>
    <row r="4" spans="1:33" s="1" customFormat="1" ht="40.200000000000003" customHeight="1" x14ac:dyDescent="0.3">
      <c r="A4" s="98" t="s">
        <v>5</v>
      </c>
      <c r="B4" s="98" t="s">
        <v>6</v>
      </c>
      <c r="C4" s="98" t="s">
        <v>7</v>
      </c>
      <c r="G4" s="218"/>
      <c r="H4" s="3"/>
      <c r="I4" s="98" t="s">
        <v>5</v>
      </c>
      <c r="J4" s="98" t="s">
        <v>6</v>
      </c>
      <c r="K4" s="98" t="s">
        <v>7</v>
      </c>
      <c r="O4" s="218"/>
      <c r="P4" s="27"/>
      <c r="Q4" s="98" t="s">
        <v>5</v>
      </c>
      <c r="R4" s="98" t="s">
        <v>6</v>
      </c>
      <c r="S4" s="98" t="s">
        <v>7</v>
      </c>
      <c r="W4" s="218"/>
      <c r="X4" s="12"/>
      <c r="Y4" s="203"/>
      <c r="AB4" s="6"/>
      <c r="AC4" s="25"/>
      <c r="AD4" s="25"/>
      <c r="AE4" s="25"/>
      <c r="AF4" s="25"/>
      <c r="AG4" s="6"/>
    </row>
    <row r="5" spans="1:33" s="1" customFormat="1" ht="30.6" customHeight="1" x14ac:dyDescent="0.3">
      <c r="A5" s="328" t="s">
        <v>71</v>
      </c>
      <c r="B5" s="329"/>
      <c r="C5" s="329"/>
      <c r="D5" s="329"/>
      <c r="E5" s="329"/>
      <c r="F5" s="330"/>
      <c r="G5" s="218"/>
      <c r="H5" s="3"/>
      <c r="I5" s="328" t="s">
        <v>72</v>
      </c>
      <c r="J5" s="329"/>
      <c r="K5" s="329"/>
      <c r="L5" s="329"/>
      <c r="M5" s="329"/>
      <c r="N5" s="330"/>
      <c r="O5" s="218"/>
      <c r="P5" s="116"/>
      <c r="Q5" s="328" t="s">
        <v>73</v>
      </c>
      <c r="R5" s="329"/>
      <c r="S5" s="329"/>
      <c r="T5" s="329"/>
      <c r="U5" s="329"/>
      <c r="V5" s="330"/>
      <c r="W5" s="218"/>
      <c r="AB5" s="6"/>
      <c r="AC5" s="25"/>
      <c r="AD5" s="25"/>
      <c r="AE5" s="25"/>
      <c r="AF5" s="25"/>
      <c r="AG5" s="28"/>
    </row>
    <row r="6" spans="1:33" s="6" customFormat="1" ht="22.2" customHeight="1" x14ac:dyDescent="0.3">
      <c r="A6" s="111" t="b">
        <f>'BD+C credit category view'!A12</f>
        <v>0</v>
      </c>
      <c r="B6" s="111" t="b">
        <f>'BD+C credit category view'!B12</f>
        <v>0</v>
      </c>
      <c r="C6" s="111" t="b">
        <f>'BD+C credit category view'!C12</f>
        <v>0</v>
      </c>
      <c r="D6" s="232" t="s">
        <v>74</v>
      </c>
      <c r="E6" s="29" t="str">
        <f>'BD+C credit category view'!E12</f>
        <v>IPp3</v>
      </c>
      <c r="F6" s="18" t="s">
        <v>86</v>
      </c>
      <c r="G6" s="212"/>
      <c r="H6" s="3"/>
      <c r="I6" s="111" t="b">
        <f>'BD+C credit category view'!A10</f>
        <v>0</v>
      </c>
      <c r="J6" s="111" t="b">
        <f>'BD+C credit category view'!B10</f>
        <v>0</v>
      </c>
      <c r="K6" s="111" t="b">
        <f>'BD+C credit category view'!C10</f>
        <v>0</v>
      </c>
      <c r="L6" s="232" t="s">
        <v>74</v>
      </c>
      <c r="M6" s="29" t="str">
        <f>'BD+C credit category view'!E10</f>
        <v>IPp1</v>
      </c>
      <c r="N6" s="18" t="s">
        <v>27</v>
      </c>
      <c r="O6" s="212"/>
      <c r="P6" s="16"/>
      <c r="Q6" s="111" t="b">
        <f>I7</f>
        <v>0</v>
      </c>
      <c r="R6" s="111" t="b">
        <f t="shared" ref="R6:S6" si="0">J7</f>
        <v>0</v>
      </c>
      <c r="S6" s="111" t="b">
        <f t="shared" si="0"/>
        <v>0</v>
      </c>
      <c r="T6" s="232" t="s">
        <v>74</v>
      </c>
      <c r="U6" s="29" t="str">
        <f>M7</f>
        <v>IPp4</v>
      </c>
      <c r="V6" s="18" t="s">
        <v>159</v>
      </c>
      <c r="W6" s="212"/>
      <c r="AG6" s="28"/>
    </row>
    <row r="7" spans="1:33" s="6" customFormat="1" ht="22.2" customHeight="1" x14ac:dyDescent="0.3">
      <c r="A7" s="111" t="b">
        <f>'BD+C credit category view'!A13</f>
        <v>0</v>
      </c>
      <c r="B7" s="111" t="b">
        <f>'BD+C credit category view'!B13</f>
        <v>0</v>
      </c>
      <c r="C7" s="111" t="b">
        <f>'BD+C credit category view'!C13</f>
        <v>0</v>
      </c>
      <c r="D7" s="232" t="s">
        <v>74</v>
      </c>
      <c r="E7" s="29" t="str">
        <f>'BD+C credit category view'!E13</f>
        <v>IPp4</v>
      </c>
      <c r="F7" s="18" t="s">
        <v>159</v>
      </c>
      <c r="G7" s="238"/>
      <c r="H7" s="3"/>
      <c r="I7" s="111" t="b">
        <f>A7</f>
        <v>0</v>
      </c>
      <c r="J7" s="111" t="b">
        <f t="shared" ref="J7:K7" si="1">B7</f>
        <v>0</v>
      </c>
      <c r="K7" s="111" t="b">
        <f t="shared" si="1"/>
        <v>0</v>
      </c>
      <c r="L7" s="232" t="s">
        <v>74</v>
      </c>
      <c r="M7" s="29" t="str">
        <f>'BD+C credit category view'!E13</f>
        <v>IPp4</v>
      </c>
      <c r="N7" s="18" t="s">
        <v>159</v>
      </c>
      <c r="O7" s="212"/>
      <c r="P7" s="16"/>
      <c r="Q7" s="210" t="b">
        <f>I9</f>
        <v>0</v>
      </c>
      <c r="R7" s="210" t="b">
        <f t="shared" ref="R7:S7" si="2">J9</f>
        <v>0</v>
      </c>
      <c r="S7" s="210" t="b">
        <f t="shared" si="2"/>
        <v>0</v>
      </c>
      <c r="T7" s="232" t="s">
        <v>76</v>
      </c>
      <c r="U7" s="17" t="str">
        <f>M9</f>
        <v>IPc1</v>
      </c>
      <c r="V7" s="239" t="s">
        <v>87</v>
      </c>
      <c r="W7" s="212" t="str">
        <f>G8</f>
        <v/>
      </c>
      <c r="AG7" s="28"/>
    </row>
    <row r="8" spans="1:33" s="6" customFormat="1" ht="22.2" customHeight="1" x14ac:dyDescent="0.3">
      <c r="A8" s="210" t="b">
        <f>'BD+C credit category view'!A14&gt;0</f>
        <v>0</v>
      </c>
      <c r="B8" s="210" t="b">
        <f>'BD+C credit category view'!B14&gt;0</f>
        <v>0</v>
      </c>
      <c r="C8" s="210" t="b">
        <f>'BD+C credit category view'!C14&gt;0</f>
        <v>0</v>
      </c>
      <c r="D8" s="232" t="s">
        <v>76</v>
      </c>
      <c r="E8" s="17" t="str">
        <f>'BD+C credit category view'!E14</f>
        <v>IPc1</v>
      </c>
      <c r="F8" s="7" t="s">
        <v>87</v>
      </c>
      <c r="G8" s="211" t="str">
        <f>'BD+C credit category view'!K14</f>
        <v/>
      </c>
      <c r="H8" s="3"/>
      <c r="I8" s="111" t="b">
        <f>'BD+C credit category view'!A11</f>
        <v>0</v>
      </c>
      <c r="J8" s="111" t="b">
        <f>'BD+C credit category view'!B11</f>
        <v>0</v>
      </c>
      <c r="K8" s="111" t="b">
        <f>'BD+C credit category view'!C11</f>
        <v>0</v>
      </c>
      <c r="L8" s="232" t="s">
        <v>74</v>
      </c>
      <c r="M8" s="29" t="str">
        <f>'BD+C credit category view'!E11</f>
        <v>IPp2</v>
      </c>
      <c r="N8" s="18" t="s">
        <v>31</v>
      </c>
      <c r="O8" s="212"/>
      <c r="P8" s="16"/>
      <c r="Q8" s="210" t="b">
        <f>I10</f>
        <v>0</v>
      </c>
      <c r="R8" s="210" t="b">
        <f t="shared" ref="R8:S8" si="3">J10</f>
        <v>0</v>
      </c>
      <c r="S8" s="210" t="b">
        <f t="shared" si="3"/>
        <v>0</v>
      </c>
      <c r="T8" s="232" t="s">
        <v>76</v>
      </c>
      <c r="U8" s="17" t="str">
        <f>E9</f>
        <v>IPc2</v>
      </c>
      <c r="V8" s="239" t="s">
        <v>160</v>
      </c>
      <c r="W8" s="212" t="str">
        <f>G9</f>
        <v/>
      </c>
      <c r="AG8" s="28"/>
    </row>
    <row r="9" spans="1:33" s="6" customFormat="1" ht="22.2" customHeight="1" x14ac:dyDescent="0.3">
      <c r="A9" s="210" t="b">
        <f>'BD+C credit category view'!A15&gt;0</f>
        <v>0</v>
      </c>
      <c r="B9" s="210" t="b">
        <f>'BD+C credit category view'!B15&gt;0</f>
        <v>0</v>
      </c>
      <c r="C9" s="210" t="b">
        <f>'BD+C credit category view'!C15&gt;0</f>
        <v>0</v>
      </c>
      <c r="D9" s="232" t="s">
        <v>76</v>
      </c>
      <c r="E9" s="17" t="str">
        <f>'BD+C credit category view'!E15</f>
        <v>IPc2</v>
      </c>
      <c r="F9" s="7" t="s">
        <v>160</v>
      </c>
      <c r="G9" s="211" t="str">
        <f>'BD+C credit category view'!K15</f>
        <v/>
      </c>
      <c r="H9" s="3"/>
      <c r="I9" s="210" t="b">
        <f>A8</f>
        <v>0</v>
      </c>
      <c r="J9" s="210" t="b">
        <f t="shared" ref="J9:K10" si="4">B8</f>
        <v>0</v>
      </c>
      <c r="K9" s="210" t="b">
        <f t="shared" si="4"/>
        <v>0</v>
      </c>
      <c r="L9" s="232" t="s">
        <v>76</v>
      </c>
      <c r="M9" s="17" t="str">
        <f>'BD+C credit category view'!E14</f>
        <v>IPc1</v>
      </c>
      <c r="N9" s="239" t="s">
        <v>87</v>
      </c>
      <c r="O9" s="212" t="str">
        <f>G8</f>
        <v/>
      </c>
      <c r="P9" s="16"/>
      <c r="Q9" s="210" t="b">
        <f>'BD+C credit category view'!A18&gt;0</f>
        <v>0</v>
      </c>
      <c r="R9" s="210" t="b">
        <f>'BD+C credit category view'!B18&gt;0</f>
        <v>0</v>
      </c>
      <c r="S9" s="210" t="b">
        <f>'BD+C credit category view'!C18&gt;0</f>
        <v>0</v>
      </c>
      <c r="T9" s="233" t="s">
        <v>75</v>
      </c>
      <c r="U9" s="17" t="str">
        <f>'BD+C credit category view'!E18</f>
        <v>LTc1</v>
      </c>
      <c r="V9" s="239" t="s">
        <v>90</v>
      </c>
      <c r="W9" s="212" t="str">
        <f>'BD+C credit category view'!K18</f>
        <v/>
      </c>
      <c r="AG9" s="28"/>
    </row>
    <row r="10" spans="1:33" s="6" customFormat="1" ht="22.2" customHeight="1" x14ac:dyDescent="0.3">
      <c r="A10" s="210" t="b">
        <f>'BD+C credit category view'!A20&gt;0</f>
        <v>0</v>
      </c>
      <c r="B10" s="210" t="b">
        <f>'BD+C credit category view'!B20&gt;0</f>
        <v>0</v>
      </c>
      <c r="C10" s="210" t="b">
        <f>'BD+C credit category view'!C20&gt;0</f>
        <v>0</v>
      </c>
      <c r="D10" s="233" t="s">
        <v>141</v>
      </c>
      <c r="E10" s="17" t="str">
        <f>'BD+C credit category view'!E20</f>
        <v>LTc3</v>
      </c>
      <c r="F10" s="7" t="s">
        <v>92</v>
      </c>
      <c r="G10" s="211" t="str">
        <f>'BD+C credit category view'!K20</f>
        <v/>
      </c>
      <c r="H10" s="3"/>
      <c r="I10" s="210" t="b">
        <f>A9</f>
        <v>0</v>
      </c>
      <c r="J10" s="210" t="b">
        <f t="shared" si="4"/>
        <v>0</v>
      </c>
      <c r="K10" s="210" t="b">
        <f t="shared" si="4"/>
        <v>0</v>
      </c>
      <c r="L10" s="232" t="s">
        <v>76</v>
      </c>
      <c r="M10" s="17" t="str">
        <f>'BD+C credit category view'!E15</f>
        <v>IPc2</v>
      </c>
      <c r="N10" s="239" t="s">
        <v>160</v>
      </c>
      <c r="O10" s="212" t="str">
        <f>G9</f>
        <v/>
      </c>
      <c r="P10" s="16"/>
      <c r="Q10" s="210" t="b">
        <f>I12</f>
        <v>0</v>
      </c>
      <c r="R10" s="210" t="b">
        <f t="shared" ref="R10:S10" si="5">J12</f>
        <v>0</v>
      </c>
      <c r="S10" s="210" t="b">
        <f t="shared" si="5"/>
        <v>0</v>
      </c>
      <c r="T10" s="233" t="s">
        <v>75</v>
      </c>
      <c r="U10" s="17" t="str">
        <f>E10</f>
        <v>LTc3</v>
      </c>
      <c r="V10" s="239" t="s">
        <v>92</v>
      </c>
      <c r="W10" s="212" t="str">
        <f>G10</f>
        <v/>
      </c>
      <c r="AG10" s="28"/>
    </row>
    <row r="11" spans="1:33" s="6" customFormat="1" ht="22.2" customHeight="1" x14ac:dyDescent="0.3">
      <c r="A11" s="210" t="b">
        <f>'BD+C credit category view'!A21&gt;0</f>
        <v>0</v>
      </c>
      <c r="B11" s="210" t="b">
        <f>'BD+C credit category view'!B21&gt;0</f>
        <v>0</v>
      </c>
      <c r="C11" s="210" t="b">
        <f>'BD+C credit category view'!C21&gt;0</f>
        <v>0</v>
      </c>
      <c r="D11" s="233" t="s">
        <v>141</v>
      </c>
      <c r="E11" s="17" t="str">
        <f>'BD+C credit category view'!E21</f>
        <v>LTc4</v>
      </c>
      <c r="F11" s="7" t="s">
        <v>38</v>
      </c>
      <c r="G11" s="211" t="str">
        <f>'BD+C credit category view'!K21</f>
        <v/>
      </c>
      <c r="H11" s="3"/>
      <c r="I11" s="210" t="b">
        <f>'BD+C credit category view'!A19&gt;0</f>
        <v>0</v>
      </c>
      <c r="J11" s="210" t="b">
        <f>'BD+C credit category view'!B19&gt;0</f>
        <v>0</v>
      </c>
      <c r="K11" s="210" t="b">
        <f>'BD+C credit category view'!C19&gt;0</f>
        <v>0</v>
      </c>
      <c r="L11" s="233" t="s">
        <v>141</v>
      </c>
      <c r="M11" s="17" t="str">
        <f>'BD+C credit category view'!E19</f>
        <v>LTc2</v>
      </c>
      <c r="N11" s="239" t="s">
        <v>91</v>
      </c>
      <c r="O11" s="212" t="str">
        <f>'BD+C credit category view'!K19</f>
        <v/>
      </c>
      <c r="P11" s="16"/>
      <c r="Q11" s="111" t="b">
        <f>'BD+C credit category view'!A25</f>
        <v>0</v>
      </c>
      <c r="R11" s="111" t="b">
        <f>'BD+C credit category view'!B25</f>
        <v>0</v>
      </c>
      <c r="S11" s="111" t="b">
        <f>'BD+C credit category view'!C25</f>
        <v>0</v>
      </c>
      <c r="T11" s="234" t="s">
        <v>147</v>
      </c>
      <c r="U11" s="29" t="str">
        <f>'BD+C credit category view'!E25</f>
        <v>SSp1</v>
      </c>
      <c r="V11" s="18" t="s">
        <v>148</v>
      </c>
      <c r="W11" s="212"/>
      <c r="AG11" s="28"/>
    </row>
    <row r="12" spans="1:33" s="6" customFormat="1" ht="22.2" customHeight="1" x14ac:dyDescent="0.3">
      <c r="A12" s="210" t="b">
        <f>'BD+C credit category view'!A22&gt;0</f>
        <v>0</v>
      </c>
      <c r="B12" s="210" t="b">
        <f>'BD+C credit category view'!B22&gt;0</f>
        <v>0</v>
      </c>
      <c r="C12" s="210" t="b">
        <f>'BD+C credit category view'!C22&gt;0</f>
        <v>0</v>
      </c>
      <c r="D12" s="233" t="s">
        <v>141</v>
      </c>
      <c r="E12" s="17" t="str">
        <f>'BD+C credit category view'!E22</f>
        <v>LTc5</v>
      </c>
      <c r="F12" s="7" t="s">
        <v>40</v>
      </c>
      <c r="G12" s="211" t="str">
        <f>'BD+C credit category view'!K22</f>
        <v/>
      </c>
      <c r="H12" s="3"/>
      <c r="I12" s="210" t="b">
        <f>'BD+C credit category view'!A20&gt;0</f>
        <v>0</v>
      </c>
      <c r="J12" s="210" t="b">
        <f>'BD+C credit category view'!B20&gt;0</f>
        <v>0</v>
      </c>
      <c r="K12" s="210" t="b">
        <f>'BD+C credit category view'!C20&gt;0</f>
        <v>0</v>
      </c>
      <c r="L12" s="233" t="s">
        <v>141</v>
      </c>
      <c r="M12" s="17" t="str">
        <f>'BD+C credit category view'!E20</f>
        <v>LTc3</v>
      </c>
      <c r="N12" s="239" t="s">
        <v>92</v>
      </c>
      <c r="O12" s="212" t="str">
        <f>G10</f>
        <v/>
      </c>
      <c r="P12" s="16"/>
      <c r="Q12" s="210" t="b">
        <f>'BD+C credit category view'!A26&gt;0</f>
        <v>0</v>
      </c>
      <c r="R12" s="210" t="b">
        <f>'BD+C credit category view'!B26&gt;0</f>
        <v>0</v>
      </c>
      <c r="S12" s="210" t="b">
        <f>'BD+C credit category view'!C26&gt;0</f>
        <v>0</v>
      </c>
      <c r="T12" s="234" t="s">
        <v>77</v>
      </c>
      <c r="U12" s="17" t="str">
        <f>'BD+C credit category view'!E26</f>
        <v>SSc1</v>
      </c>
      <c r="V12" s="239" t="s">
        <v>99</v>
      </c>
      <c r="W12" s="212" t="str">
        <f>'BD+C credit category view'!K26</f>
        <v/>
      </c>
    </row>
    <row r="13" spans="1:33" s="6" customFormat="1" ht="22.2" customHeight="1" x14ac:dyDescent="0.3">
      <c r="A13" s="210" t="b">
        <f>'BD+C credit category view'!A30&gt;0</f>
        <v>0</v>
      </c>
      <c r="B13" s="210" t="b">
        <f>'BD+C credit category view'!B30&gt;0</f>
        <v>0</v>
      </c>
      <c r="C13" s="210" t="b">
        <f>'BD+C credit category view'!C30&gt;0</f>
        <v>0</v>
      </c>
      <c r="D13" s="234" t="s">
        <v>77</v>
      </c>
      <c r="E13" s="17" t="str">
        <f>'BD+C credit category view'!E30</f>
        <v>SSc5</v>
      </c>
      <c r="F13" s="7" t="s">
        <v>42</v>
      </c>
      <c r="G13" s="211" t="str">
        <f>'BD+C credit category view'!K30</f>
        <v/>
      </c>
      <c r="H13" s="3"/>
      <c r="I13" s="210" t="b">
        <f>'BD+C credit category view'!A21&gt;0</f>
        <v>0</v>
      </c>
      <c r="J13" s="210" t="b">
        <f>'BD+C credit category view'!B21&gt;0</f>
        <v>0</v>
      </c>
      <c r="K13" s="210" t="b">
        <f>'BD+C credit category view'!C21&gt;0</f>
        <v>0</v>
      </c>
      <c r="L13" s="233" t="s">
        <v>141</v>
      </c>
      <c r="M13" s="17" t="str">
        <f>'BD+C credit category view'!E21</f>
        <v>LTc4</v>
      </c>
      <c r="N13" s="239" t="s">
        <v>38</v>
      </c>
      <c r="O13" s="212" t="str">
        <f>G11</f>
        <v/>
      </c>
      <c r="P13" s="16"/>
      <c r="Q13" s="210" t="b">
        <f>'BD+C credit category view'!A27&gt;0</f>
        <v>0</v>
      </c>
      <c r="R13" s="210" t="b">
        <f>'BD+C credit category view'!B27&gt;0</f>
        <v>0</v>
      </c>
      <c r="S13" s="210" t="b">
        <f>'BD+C credit category view'!C27&gt;0</f>
        <v>0</v>
      </c>
      <c r="T13" s="234" t="s">
        <v>77</v>
      </c>
      <c r="U13" s="17" t="str">
        <f>'BD+C credit category view'!E27</f>
        <v>SSc2</v>
      </c>
      <c r="V13" s="239" t="s">
        <v>100</v>
      </c>
      <c r="W13" s="212" t="str">
        <f>'BD+C credit category view'!K27</f>
        <v/>
      </c>
    </row>
    <row r="14" spans="1:33" s="6" customFormat="1" ht="22.2" customHeight="1" x14ac:dyDescent="0.3">
      <c r="A14" s="111" t="b">
        <f>'BD+C credit category view'!A35</f>
        <v>0</v>
      </c>
      <c r="B14" s="111" t="b">
        <f>'BD+C credit category view'!B35</f>
        <v>0</v>
      </c>
      <c r="C14" s="111" t="b">
        <f>'BD+C credit category view'!C35</f>
        <v>0</v>
      </c>
      <c r="D14" s="235" t="s">
        <v>78</v>
      </c>
      <c r="E14" s="29" t="str">
        <f>'BD+C credit category view'!E35</f>
        <v>WEp2</v>
      </c>
      <c r="F14" s="18" t="s">
        <v>105</v>
      </c>
      <c r="G14" s="238"/>
      <c r="H14" s="3"/>
      <c r="I14" s="210" t="b">
        <f>'BD+C credit category view'!A27&gt;0</f>
        <v>0</v>
      </c>
      <c r="J14" s="210" t="b">
        <f>'BD+C credit category view'!B27&gt;0</f>
        <v>0</v>
      </c>
      <c r="K14" s="210" t="b">
        <f>'BD+C credit category view'!C27&gt;0</f>
        <v>0</v>
      </c>
      <c r="L14" s="234" t="s">
        <v>77</v>
      </c>
      <c r="M14" s="17" t="str">
        <f>'BD+C credit category view'!E27</f>
        <v>SSc2</v>
      </c>
      <c r="N14" s="239" t="s">
        <v>100</v>
      </c>
      <c r="O14" s="212" t="str">
        <f>'BD+C credit category view'!K27</f>
        <v/>
      </c>
      <c r="P14" s="16"/>
      <c r="Q14" s="210" t="b">
        <f>'BD+C credit category view'!A28&gt;0</f>
        <v>0</v>
      </c>
      <c r="R14" s="210" t="b">
        <f>'BD+C credit category view'!B28&gt;0</f>
        <v>0</v>
      </c>
      <c r="S14" s="210" t="b">
        <f>'BD+C credit category view'!C28&gt;0</f>
        <v>0</v>
      </c>
      <c r="T14" s="234" t="s">
        <v>77</v>
      </c>
      <c r="U14" s="17" t="str">
        <f>'BD+C credit category view'!E28</f>
        <v>SSc3</v>
      </c>
      <c r="V14" s="239" t="s">
        <v>101</v>
      </c>
      <c r="W14" s="212" t="str">
        <f>'BD+C credit category view'!K28</f>
        <v/>
      </c>
    </row>
    <row r="15" spans="1:33" s="6" customFormat="1" ht="22.2" customHeight="1" x14ac:dyDescent="0.3">
      <c r="A15" s="210" t="b">
        <f>'BD+C credit category view'!A36&gt;0</f>
        <v>0</v>
      </c>
      <c r="B15" s="210" t="b">
        <f>'BD+C credit category view'!B36&gt;0</f>
        <v>0</v>
      </c>
      <c r="C15" s="210" t="b">
        <f>'BD+C credit category view'!C36&gt;0</f>
        <v>0</v>
      </c>
      <c r="D15" s="235" t="s">
        <v>79</v>
      </c>
      <c r="E15" s="17" t="str">
        <f>'BD+C credit category view'!E36</f>
        <v>WEc1</v>
      </c>
      <c r="F15" s="7" t="s">
        <v>106</v>
      </c>
      <c r="G15" s="212" t="str">
        <f>'BD+C credit category view'!K36</f>
        <v/>
      </c>
      <c r="H15" s="3"/>
      <c r="I15" s="210" t="b">
        <f>'BD+C credit category view'!A29&gt;0</f>
        <v>0</v>
      </c>
      <c r="J15" s="210" t="b">
        <f>'BD+C credit category view'!B29&gt;0</f>
        <v>0</v>
      </c>
      <c r="K15" s="210" t="b">
        <f>'BD+C credit category view'!C29&gt;0</f>
        <v>0</v>
      </c>
      <c r="L15" s="234" t="s">
        <v>77</v>
      </c>
      <c r="M15" s="17" t="str">
        <f>'BD+C credit category view'!E29</f>
        <v>SSc4</v>
      </c>
      <c r="N15" s="239" t="s">
        <v>102</v>
      </c>
      <c r="O15" s="212" t="str">
        <f>'BD+C credit category view'!K29</f>
        <v/>
      </c>
      <c r="P15" s="16"/>
      <c r="Q15" s="210" t="b">
        <f>'BD+C credit category view'!A29&gt;0</f>
        <v>0</v>
      </c>
      <c r="R15" s="210" t="b">
        <f>'BD+C credit category view'!B29&gt;0</f>
        <v>0</v>
      </c>
      <c r="S15" s="210" t="b">
        <f>'BD+C credit category view'!C29&gt;0</f>
        <v>0</v>
      </c>
      <c r="T15" s="234" t="s">
        <v>77</v>
      </c>
      <c r="U15" s="17" t="str">
        <f>'BD+C credit category view'!E29</f>
        <v>SSc4</v>
      </c>
      <c r="V15" s="239" t="s">
        <v>102</v>
      </c>
      <c r="W15" s="212" t="str">
        <f>'BD+C credit category view'!K29</f>
        <v/>
      </c>
    </row>
    <row r="16" spans="1:33" s="6" customFormat="1" ht="22.2" customHeight="1" x14ac:dyDescent="0.3">
      <c r="A16" s="210" t="b">
        <f>'BD+C credit category view'!A37&gt;0</f>
        <v>0</v>
      </c>
      <c r="B16" s="210" t="b">
        <f>'BD+C credit category view'!B37&gt;0</f>
        <v>0</v>
      </c>
      <c r="C16" s="210" t="b">
        <f>'BD+C credit category view'!C37&gt;0</f>
        <v>0</v>
      </c>
      <c r="D16" s="235" t="s">
        <v>79</v>
      </c>
      <c r="E16" s="17" t="str">
        <f>'BD+C credit category view'!E37</f>
        <v>WEc2</v>
      </c>
      <c r="F16" s="7" t="s">
        <v>107</v>
      </c>
      <c r="G16" s="212" t="str">
        <f>'BD+C credit category view'!K37</f>
        <v/>
      </c>
      <c r="H16" s="3"/>
      <c r="I16" s="210" t="b">
        <f>'BD+C credit category view'!A30&gt;0</f>
        <v>0</v>
      </c>
      <c r="J16" s="210" t="b">
        <f>'BD+C credit category view'!B30&gt;0</f>
        <v>0</v>
      </c>
      <c r="K16" s="210" t="b">
        <f>'BD+C credit category view'!C30&gt;0</f>
        <v>0</v>
      </c>
      <c r="L16" s="234" t="s">
        <v>77</v>
      </c>
      <c r="M16" s="17" t="str">
        <f>'BD+C credit category view'!E30</f>
        <v>SSc5</v>
      </c>
      <c r="N16" s="239" t="s">
        <v>42</v>
      </c>
      <c r="O16" s="212" t="str">
        <f>'BD+C credit category view'!K30</f>
        <v/>
      </c>
      <c r="P16" s="16"/>
      <c r="Q16" s="210" t="b">
        <f>'BD+C credit category view'!A30&gt;0</f>
        <v>0</v>
      </c>
      <c r="R16" s="210" t="b">
        <f>'BD+C credit category view'!B30&gt;0</f>
        <v>0</v>
      </c>
      <c r="S16" s="210" t="b">
        <f>'BD+C credit category view'!C30&gt;0</f>
        <v>0</v>
      </c>
      <c r="T16" s="234" t="s">
        <v>77</v>
      </c>
      <c r="U16" s="17" t="str">
        <f>'BD+C credit category view'!E30</f>
        <v>SSc5</v>
      </c>
      <c r="V16" s="239" t="s">
        <v>42</v>
      </c>
      <c r="W16" s="212" t="str">
        <f>'BD+C credit category view'!K30</f>
        <v/>
      </c>
    </row>
    <row r="17" spans="1:31" s="6" customFormat="1" ht="22.2" customHeight="1" x14ac:dyDescent="0.3">
      <c r="A17" s="111" t="b">
        <f>'BD+C credit category view'!A40</f>
        <v>0</v>
      </c>
      <c r="B17" s="111" t="b">
        <f>'BD+C credit category view'!B40</f>
        <v>0</v>
      </c>
      <c r="C17" s="111" t="b">
        <f>'BD+C credit category view'!C40</f>
        <v>0</v>
      </c>
      <c r="D17" s="236" t="s">
        <v>80</v>
      </c>
      <c r="E17" s="29" t="str">
        <f>'BD+C credit category view'!E40</f>
        <v>EAp1</v>
      </c>
      <c r="F17" s="18" t="s">
        <v>109</v>
      </c>
      <c r="G17" s="212"/>
      <c r="H17" s="3"/>
      <c r="I17" s="210" t="b">
        <f>A15</f>
        <v>0</v>
      </c>
      <c r="J17" s="210" t="b">
        <f t="shared" ref="J17:K17" si="6">B15</f>
        <v>0</v>
      </c>
      <c r="K17" s="210" t="b">
        <f t="shared" si="6"/>
        <v>0</v>
      </c>
      <c r="L17" s="235" t="s">
        <v>79</v>
      </c>
      <c r="M17" s="17" t="str">
        <f>'BD+C credit category view'!E34</f>
        <v>WEp1</v>
      </c>
      <c r="N17" s="239" t="s">
        <v>106</v>
      </c>
      <c r="O17" s="212" t="str">
        <f>'BD+C credit category view'!K36</f>
        <v/>
      </c>
      <c r="P17" s="16"/>
      <c r="Q17" s="210" t="b">
        <f>'BD+C credit category view'!A31&gt;0</f>
        <v>0</v>
      </c>
      <c r="R17" s="210" t="b">
        <f>'BD+C credit category view'!B31&gt;0</f>
        <v>0</v>
      </c>
      <c r="S17" s="210" t="b">
        <f>'BD+C credit category view'!C31&gt;0</f>
        <v>0</v>
      </c>
      <c r="T17" s="234" t="s">
        <v>77</v>
      </c>
      <c r="U17" s="17" t="str">
        <f>'BD+C credit category view'!E31</f>
        <v>SSc6</v>
      </c>
      <c r="V17" s="239" t="s">
        <v>103</v>
      </c>
      <c r="W17" s="212" t="str">
        <f>'BD+C credit category view'!K31</f>
        <v/>
      </c>
    </row>
    <row r="18" spans="1:31" s="6" customFormat="1" ht="22.2" customHeight="1" x14ac:dyDescent="0.3">
      <c r="A18" s="111" t="b">
        <f>'BD+C credit category view'!A41</f>
        <v>0</v>
      </c>
      <c r="B18" s="111" t="b">
        <f>'BD+C credit category view'!B41</f>
        <v>0</v>
      </c>
      <c r="C18" s="111" t="b">
        <f>'BD+C credit category view'!C41</f>
        <v>0</v>
      </c>
      <c r="D18" s="236" t="s">
        <v>80</v>
      </c>
      <c r="E18" s="29" t="str">
        <f>'BD+C credit category view'!E41</f>
        <v>EAp2</v>
      </c>
      <c r="F18" s="18" t="s">
        <v>110</v>
      </c>
      <c r="G18" s="212"/>
      <c r="H18" s="3"/>
      <c r="I18" s="210" t="b">
        <f>'BD+C credit category view'!A58&gt;0</f>
        <v>0</v>
      </c>
      <c r="J18" s="210" t="b">
        <f>'BD+C credit category view'!B58&gt;0</f>
        <v>0</v>
      </c>
      <c r="K18" s="210" t="b">
        <f>'BD+C credit category view'!C58&gt;0</f>
        <v>0</v>
      </c>
      <c r="L18" s="237" t="s">
        <v>82</v>
      </c>
      <c r="M18" s="17" t="str">
        <f>'BD+C credit category view'!E58</f>
        <v>MRc3</v>
      </c>
      <c r="N18" s="239" t="s">
        <v>144</v>
      </c>
      <c r="O18" s="212" t="str">
        <f>'BD+C credit category view'!K58</f>
        <v/>
      </c>
      <c r="P18" s="10"/>
      <c r="Q18" s="111" t="b">
        <f>'BD+C credit category view'!A34</f>
        <v>0</v>
      </c>
      <c r="R18" s="111" t="b">
        <f>'BD+C credit category view'!B34</f>
        <v>0</v>
      </c>
      <c r="S18" s="111" t="b">
        <f>'BD+C credit category view'!C34</f>
        <v>0</v>
      </c>
      <c r="T18" s="235" t="s">
        <v>78</v>
      </c>
      <c r="U18" s="29" t="str">
        <f>'BD+C credit category view'!E34</f>
        <v>WEp1</v>
      </c>
      <c r="V18" s="18" t="s">
        <v>149</v>
      </c>
      <c r="W18" s="212"/>
      <c r="Y18" s="21"/>
    </row>
    <row r="19" spans="1:31" s="6" customFormat="1" ht="22.2" customHeight="1" x14ac:dyDescent="0.3">
      <c r="A19" s="111" t="b">
        <f>'BD+C credit category view'!A42</f>
        <v>0</v>
      </c>
      <c r="B19" s="111" t="b">
        <f>'BD+C credit category view'!B42</f>
        <v>0</v>
      </c>
      <c r="C19" s="111" t="b">
        <f>'BD+C credit category view'!C42</f>
        <v>0</v>
      </c>
      <c r="D19" s="236" t="s">
        <v>80</v>
      </c>
      <c r="E19" s="29" t="str">
        <f>'BD+C credit category view'!E42</f>
        <v>EAp3</v>
      </c>
      <c r="F19" s="18" t="s">
        <v>111</v>
      </c>
      <c r="G19" s="212"/>
      <c r="H19" s="3"/>
      <c r="I19" s="210" t="b">
        <f>'BD+C credit category view'!A59&gt;0</f>
        <v>0</v>
      </c>
      <c r="J19" s="210" t="b">
        <f>'BD+C credit category view'!B59&gt;0</f>
        <v>0</v>
      </c>
      <c r="K19" s="210" t="b">
        <f>'BD+C credit category view'!C59&gt;0</f>
        <v>0</v>
      </c>
      <c r="L19" s="237" t="s">
        <v>82</v>
      </c>
      <c r="M19" s="17" t="str">
        <f>'BD+C credit category view'!E59</f>
        <v>MRc4</v>
      </c>
      <c r="N19" s="239" t="s">
        <v>143</v>
      </c>
      <c r="O19" s="212" t="str">
        <f>'BD+C credit category view'!K59</f>
        <v/>
      </c>
      <c r="P19" s="10"/>
      <c r="Q19" s="111" t="b">
        <f>'BD+C credit category view'!A35</f>
        <v>0</v>
      </c>
      <c r="R19" s="111" t="b">
        <f>'BD+C credit category view'!B35</f>
        <v>0</v>
      </c>
      <c r="S19" s="111" t="b">
        <f>'BD+C credit category view'!C35</f>
        <v>0</v>
      </c>
      <c r="T19" s="235" t="s">
        <v>78</v>
      </c>
      <c r="U19" s="29" t="str">
        <f>'BD+C credit category view'!E35</f>
        <v>WEp2</v>
      </c>
      <c r="V19" s="18" t="s">
        <v>105</v>
      </c>
      <c r="W19" s="212"/>
      <c r="X19" s="11"/>
      <c r="Y19" s="22"/>
    </row>
    <row r="20" spans="1:31" s="6" customFormat="1" ht="22.2" customHeight="1" x14ac:dyDescent="0.3">
      <c r="A20" s="111" t="b">
        <f>'BD+C credit category view'!A43</f>
        <v>0</v>
      </c>
      <c r="B20" s="111" t="b">
        <f>'BD+C credit category view'!B43</f>
        <v>0</v>
      </c>
      <c r="C20" s="111" t="b">
        <f>'BD+C credit category view'!C43</f>
        <v>0</v>
      </c>
      <c r="D20" s="236" t="s">
        <v>80</v>
      </c>
      <c r="E20" s="29" t="str">
        <f>'BD+C credit category view'!E43</f>
        <v>EAp4</v>
      </c>
      <c r="F20" s="18" t="s">
        <v>112</v>
      </c>
      <c r="G20" s="212"/>
      <c r="H20" s="3"/>
      <c r="I20" s="111" t="b">
        <f>'BD+C credit category view'!A63</f>
        <v>0</v>
      </c>
      <c r="J20" s="111" t="b">
        <f>'BD+C credit category view'!B63</f>
        <v>0</v>
      </c>
      <c r="K20" s="111" t="b">
        <f>'BD+C credit category view'!C63</f>
        <v>0</v>
      </c>
      <c r="L20" s="240" t="s">
        <v>81</v>
      </c>
      <c r="M20" s="29" t="str">
        <f>'BD+C credit category view'!E63</f>
        <v>EQp1</v>
      </c>
      <c r="N20" s="18" t="s">
        <v>145</v>
      </c>
      <c r="O20" s="212"/>
      <c r="P20" s="10"/>
      <c r="Q20" s="210" t="b">
        <f>A15</f>
        <v>0</v>
      </c>
      <c r="R20" s="210" t="b">
        <f t="shared" ref="R20:S20" si="7">B15</f>
        <v>0</v>
      </c>
      <c r="S20" s="210" t="b">
        <f t="shared" si="7"/>
        <v>0</v>
      </c>
      <c r="T20" s="235" t="s">
        <v>79</v>
      </c>
      <c r="U20" s="17" t="str">
        <f>'BD+C credit category view'!E36</f>
        <v>WEc1</v>
      </c>
      <c r="V20" s="239" t="s">
        <v>106</v>
      </c>
      <c r="W20" s="212" t="str">
        <f>G15</f>
        <v/>
      </c>
      <c r="X20" s="11"/>
      <c r="Y20" s="22"/>
    </row>
    <row r="21" spans="1:31" s="6" customFormat="1" ht="22.2" customHeight="1" x14ac:dyDescent="0.3">
      <c r="A21" s="111" t="b">
        <f>'BD+C credit category view'!A44</f>
        <v>0</v>
      </c>
      <c r="B21" s="111" t="b">
        <f>'BD+C credit category view'!B44</f>
        <v>0</v>
      </c>
      <c r="C21" s="111" t="b">
        <f>'BD+C credit category view'!C44</f>
        <v>0</v>
      </c>
      <c r="D21" s="236" t="s">
        <v>80</v>
      </c>
      <c r="E21" s="29" t="str">
        <f>'BD+C credit category view'!E44</f>
        <v>EAp5</v>
      </c>
      <c r="F21" s="18" t="s">
        <v>52</v>
      </c>
      <c r="G21" s="212"/>
      <c r="H21" s="3"/>
      <c r="I21" s="111" t="b">
        <f>'BD+C credit category view'!A64</f>
        <v>0</v>
      </c>
      <c r="J21" s="111" t="b">
        <f>'BD+C credit category view'!B64</f>
        <v>0</v>
      </c>
      <c r="K21" s="111" t="b">
        <f>'BD+C credit category view'!C64</f>
        <v>0</v>
      </c>
      <c r="L21" s="240" t="s">
        <v>81</v>
      </c>
      <c r="M21" s="29" t="str">
        <f>'BD+C credit category view'!E64</f>
        <v>EQp2</v>
      </c>
      <c r="N21" s="18" t="s">
        <v>134</v>
      </c>
      <c r="O21" s="212"/>
      <c r="P21" s="10"/>
      <c r="Q21" s="210" t="b">
        <f>A16</f>
        <v>0</v>
      </c>
      <c r="R21" s="210" t="b">
        <f t="shared" ref="R21:S21" si="8">B16</f>
        <v>0</v>
      </c>
      <c r="S21" s="210" t="b">
        <f t="shared" si="8"/>
        <v>0</v>
      </c>
      <c r="T21" s="235" t="s">
        <v>79</v>
      </c>
      <c r="U21" s="17" t="str">
        <f>'BD+C credit category view'!E37</f>
        <v>WEc2</v>
      </c>
      <c r="V21" s="239" t="s">
        <v>107</v>
      </c>
      <c r="W21" s="212" t="str">
        <f>G16</f>
        <v/>
      </c>
      <c r="X21" s="11"/>
      <c r="Y21" s="22"/>
    </row>
    <row r="22" spans="1:31" s="6" customFormat="1" ht="22.2" customHeight="1" x14ac:dyDescent="0.3">
      <c r="A22" s="210" t="b">
        <f>'BD+C credit category view'!A45&gt;0</f>
        <v>0</v>
      </c>
      <c r="B22" s="210" t="b">
        <f>'BD+C credit category view'!B45&gt;0</f>
        <v>0</v>
      </c>
      <c r="C22" s="210" t="b">
        <f>'BD+C credit category view'!C45&gt;0</f>
        <v>0</v>
      </c>
      <c r="D22" s="236" t="s">
        <v>84</v>
      </c>
      <c r="E22" s="17" t="str">
        <f>'BD+C credit category view'!E45</f>
        <v>EAc1</v>
      </c>
      <c r="F22" s="7" t="s">
        <v>113</v>
      </c>
      <c r="G22" s="212" t="str">
        <f>'BD+C credit category view'!K45</f>
        <v/>
      </c>
      <c r="H22" s="3"/>
      <c r="I22" s="111" t="b">
        <f>'BD+C credit category view'!A65</f>
        <v>0</v>
      </c>
      <c r="J22" s="111" t="b">
        <f>'BD+C credit category view'!B65</f>
        <v>0</v>
      </c>
      <c r="K22" s="111" t="b">
        <f>'BD+C credit category view'!C65</f>
        <v>0</v>
      </c>
      <c r="L22" s="240" t="s">
        <v>81</v>
      </c>
      <c r="M22" s="29" t="str">
        <f>'BD+C credit category view'!E65</f>
        <v>EQp3</v>
      </c>
      <c r="N22" s="18" t="s">
        <v>135</v>
      </c>
      <c r="O22" s="212"/>
      <c r="P22" s="10"/>
      <c r="Q22" s="111" t="b">
        <f>A29</f>
        <v>0</v>
      </c>
      <c r="R22" s="111" t="b">
        <f t="shared" ref="R22:S22" si="9">B29</f>
        <v>0</v>
      </c>
      <c r="S22" s="111" t="b">
        <f t="shared" si="9"/>
        <v>0</v>
      </c>
      <c r="T22" s="237" t="s">
        <v>142</v>
      </c>
      <c r="U22" s="29" t="str">
        <f>'BD+C credit category view'!E54</f>
        <v>MRp1</v>
      </c>
      <c r="V22" s="18" t="s">
        <v>125</v>
      </c>
      <c r="W22" s="212"/>
      <c r="X22" s="11"/>
      <c r="Y22" s="22"/>
    </row>
    <row r="23" spans="1:31" s="6" customFormat="1" ht="22.2" customHeight="1" x14ac:dyDescent="0.3">
      <c r="A23" s="210" t="b">
        <f>'BD+C credit category view'!A46&gt;0</f>
        <v>0</v>
      </c>
      <c r="B23" s="210" t="b">
        <f>'BD+C credit category view'!B46&gt;0</f>
        <v>0</v>
      </c>
      <c r="C23" s="210" t="b">
        <f>'BD+C credit category view'!C46&gt;0</f>
        <v>0</v>
      </c>
      <c r="D23" s="236" t="s">
        <v>84</v>
      </c>
      <c r="E23" s="17" t="str">
        <f>'BD+C credit category view'!E46</f>
        <v>EAc2</v>
      </c>
      <c r="F23" s="7" t="s">
        <v>114</v>
      </c>
      <c r="G23" s="212" t="str">
        <f>'BD+C credit category view'!K46</f>
        <v/>
      </c>
      <c r="H23" s="3"/>
      <c r="I23" s="210" t="b">
        <f>'BD+C credit category view'!A66&gt;0</f>
        <v>0</v>
      </c>
      <c r="J23" s="210" t="b">
        <f>'BD+C credit category view'!B66&gt;0</f>
        <v>0</v>
      </c>
      <c r="K23" s="210" t="b">
        <f>'BD+C credit category view'!C66&gt;0</f>
        <v>0</v>
      </c>
      <c r="L23" s="240" t="s">
        <v>83</v>
      </c>
      <c r="M23" s="17" t="str">
        <f>'BD+C credit category view'!E66</f>
        <v>EQc1</v>
      </c>
      <c r="N23" s="239" t="s">
        <v>136</v>
      </c>
      <c r="O23" s="212" t="str">
        <f>'BD+C credit category view'!K66</f>
        <v/>
      </c>
      <c r="P23" s="10"/>
      <c r="Q23" s="210" t="b">
        <f>A31</f>
        <v>0</v>
      </c>
      <c r="R23" s="210" t="b">
        <f t="shared" ref="R23:S23" si="10">B31</f>
        <v>0</v>
      </c>
      <c r="S23" s="210" t="b">
        <f t="shared" si="10"/>
        <v>0</v>
      </c>
      <c r="T23" s="237" t="s">
        <v>82</v>
      </c>
      <c r="U23" s="17" t="str">
        <f>'BD+C credit category view'!E56</f>
        <v>MRc1</v>
      </c>
      <c r="V23" s="239" t="s">
        <v>127</v>
      </c>
      <c r="W23" s="212" t="str">
        <f>G31</f>
        <v/>
      </c>
      <c r="X23" s="11"/>
      <c r="Y23" s="22"/>
    </row>
    <row r="24" spans="1:31" s="6" customFormat="1" ht="22.2" customHeight="1" x14ac:dyDescent="0.3">
      <c r="A24" s="210" t="b">
        <f>'BD+C credit category view'!A47&gt;0</f>
        <v>0</v>
      </c>
      <c r="B24" s="210" t="b">
        <f>'BD+C credit category view'!B47&gt;0</f>
        <v>0</v>
      </c>
      <c r="C24" s="210" t="b">
        <f>'BD+C credit category view'!C47&gt;0</f>
        <v>0</v>
      </c>
      <c r="D24" s="236" t="s">
        <v>84</v>
      </c>
      <c r="E24" s="17" t="str">
        <f>'BD+C credit category view'!E47</f>
        <v>EAc3</v>
      </c>
      <c r="F24" s="7" t="s">
        <v>115</v>
      </c>
      <c r="G24" s="212" t="str">
        <f>'BD+C credit category view'!K47</f>
        <v/>
      </c>
      <c r="H24" s="3"/>
      <c r="I24" s="210" t="b">
        <f>'BD+C credit category view'!A67&gt;0</f>
        <v>0</v>
      </c>
      <c r="J24" s="210" t="b">
        <f>'BD+C credit category view'!B67&gt;0</f>
        <v>0</v>
      </c>
      <c r="K24" s="210" t="b">
        <f>'BD+C credit category view'!C67&gt;0</f>
        <v>0</v>
      </c>
      <c r="L24" s="240" t="s">
        <v>83</v>
      </c>
      <c r="M24" s="17" t="str">
        <f>'BD+C credit category view'!E67</f>
        <v>EQc2</v>
      </c>
      <c r="N24" s="239" t="s">
        <v>137</v>
      </c>
      <c r="O24" s="212" t="str">
        <f>'BD+C credit category view'!K67</f>
        <v/>
      </c>
      <c r="P24" s="10"/>
      <c r="Q24" s="210" t="b">
        <f>A33</f>
        <v>0</v>
      </c>
      <c r="R24" s="210" t="b">
        <f t="shared" ref="R24:S24" si="11">B33</f>
        <v>0</v>
      </c>
      <c r="S24" s="210" t="b">
        <f t="shared" si="11"/>
        <v>0</v>
      </c>
      <c r="T24" s="237" t="s">
        <v>82</v>
      </c>
      <c r="U24" s="17" t="str">
        <f>'BD+C credit category view'!E59</f>
        <v>MRc4</v>
      </c>
      <c r="V24" s="239" t="s">
        <v>143</v>
      </c>
      <c r="W24" s="212" t="str">
        <f>G33</f>
        <v/>
      </c>
      <c r="X24" s="9"/>
      <c r="Y24" s="22"/>
    </row>
    <row r="25" spans="1:31" s="6" customFormat="1" ht="22.2" customHeight="1" x14ac:dyDescent="0.3">
      <c r="A25" s="210" t="b">
        <f>'BD+C credit category view'!A48&gt;0</f>
        <v>0</v>
      </c>
      <c r="B25" s="210" t="b">
        <f>'BD+C credit category view'!B48&gt;0</f>
        <v>0</v>
      </c>
      <c r="C25" s="210" t="b">
        <f>'BD+C credit category view'!C48&gt;0</f>
        <v>0</v>
      </c>
      <c r="D25" s="236" t="s">
        <v>84</v>
      </c>
      <c r="E25" s="17" t="str">
        <f>'BD+C credit category view'!E48</f>
        <v>EAc4</v>
      </c>
      <c r="F25" s="7" t="s">
        <v>116</v>
      </c>
      <c r="G25" s="212" t="str">
        <f>'BD+C credit category view'!K48</f>
        <v/>
      </c>
      <c r="H25" s="3"/>
      <c r="I25" s="210" t="b">
        <f>'BD+C credit category view'!A68&gt;0</f>
        <v>0</v>
      </c>
      <c r="J25" s="210" t="b">
        <f>'BD+C credit category view'!B68&gt;0</f>
        <v>0</v>
      </c>
      <c r="K25" s="210" t="b">
        <f>'BD+C credit category view'!C68&gt;0</f>
        <v>0</v>
      </c>
      <c r="L25" s="240" t="s">
        <v>83</v>
      </c>
      <c r="M25" s="17" t="str">
        <f>'BD+C credit category view'!E68</f>
        <v>EQc3</v>
      </c>
      <c r="N25" s="239" t="s">
        <v>146</v>
      </c>
      <c r="O25" s="212" t="str">
        <f>'BD+C credit category view'!K68</f>
        <v/>
      </c>
      <c r="Q25" s="210" t="b">
        <f>A34</f>
        <v>0</v>
      </c>
      <c r="R25" s="210" t="b">
        <f t="shared" ref="R25:S25" si="12">B34</f>
        <v>0</v>
      </c>
      <c r="S25" s="210" t="b">
        <f t="shared" si="12"/>
        <v>0</v>
      </c>
      <c r="T25" s="237" t="s">
        <v>82</v>
      </c>
      <c r="U25" s="17" t="str">
        <f>'BD+C credit category view'!E60</f>
        <v>MRc5</v>
      </c>
      <c r="V25" s="239" t="s">
        <v>131</v>
      </c>
      <c r="W25" s="212" t="str">
        <f>G34</f>
        <v/>
      </c>
      <c r="X25" s="8"/>
      <c r="Y25" s="22"/>
    </row>
    <row r="26" spans="1:31" s="6" customFormat="1" ht="22.2" customHeight="1" x14ac:dyDescent="0.3">
      <c r="A26" s="210" t="b">
        <f>'BD+C credit category view'!A49&gt;0</f>
        <v>0</v>
      </c>
      <c r="B26" s="210" t="b">
        <f>'BD+C credit category view'!B49&gt;0</f>
        <v>0</v>
      </c>
      <c r="C26" s="210" t="b">
        <f>'BD+C credit category view'!C49&gt;0</f>
        <v>0</v>
      </c>
      <c r="D26" s="236" t="s">
        <v>84</v>
      </c>
      <c r="E26" s="17" t="str">
        <f>'BD+C credit category view'!E49</f>
        <v>EAc5</v>
      </c>
      <c r="F26" s="7" t="s">
        <v>117</v>
      </c>
      <c r="G26" s="212" t="str">
        <f>'BD+C credit category view'!K49</f>
        <v/>
      </c>
      <c r="H26" s="3"/>
      <c r="I26" s="210" t="b">
        <f>'BD+C credit category view'!A69&gt;0</f>
        <v>0</v>
      </c>
      <c r="J26" s="210" t="b">
        <f>'BD+C credit category view'!B69&gt;0</f>
        <v>0</v>
      </c>
      <c r="K26" s="210" t="b">
        <f>'BD+C credit category view'!C69&gt;0</f>
        <v>0</v>
      </c>
      <c r="L26" s="240" t="s">
        <v>83</v>
      </c>
      <c r="M26" s="17" t="str">
        <f>'BD+C credit category view'!E69</f>
        <v>EQc4</v>
      </c>
      <c r="N26" s="239" t="s">
        <v>68</v>
      </c>
      <c r="O26" s="212" t="str">
        <f>'BD+C credit category view'!K69</f>
        <v/>
      </c>
      <c r="Q26" s="111" t="b">
        <f>I22</f>
        <v>0</v>
      </c>
      <c r="R26" s="111" t="b">
        <f t="shared" ref="R26:S26" si="13">J22</f>
        <v>0</v>
      </c>
      <c r="S26" s="111" t="b">
        <f t="shared" si="13"/>
        <v>0</v>
      </c>
      <c r="T26" s="240" t="s">
        <v>81</v>
      </c>
      <c r="U26" s="29" t="str">
        <f>M22</f>
        <v>EQp3</v>
      </c>
      <c r="V26" s="18" t="s">
        <v>135</v>
      </c>
      <c r="W26" s="212"/>
    </row>
    <row r="27" spans="1:31" s="6" customFormat="1" ht="22.2" customHeight="1" x14ac:dyDescent="0.3">
      <c r="A27" s="210" t="b">
        <f>'BD+C credit category view'!A50&gt;0</f>
        <v>0</v>
      </c>
      <c r="B27" s="210" t="b">
        <f>'BD+C credit category view'!B50&gt;0</f>
        <v>0</v>
      </c>
      <c r="C27" s="210" t="b">
        <f>'BD+C credit category view'!C50&gt;0</f>
        <v>0</v>
      </c>
      <c r="D27" s="236" t="s">
        <v>84</v>
      </c>
      <c r="E27" s="17" t="str">
        <f>'BD+C credit category view'!E50</f>
        <v>EAc6</v>
      </c>
      <c r="F27" s="7" t="s">
        <v>118</v>
      </c>
      <c r="G27" s="212" t="str">
        <f>'BD+C credit category view'!K50</f>
        <v/>
      </c>
      <c r="H27" s="3"/>
      <c r="I27" s="122"/>
      <c r="J27" s="122"/>
      <c r="K27" s="122"/>
      <c r="L27" s="122"/>
      <c r="M27" s="122"/>
      <c r="N27" s="122"/>
      <c r="O27" s="219"/>
      <c r="W27" s="219"/>
    </row>
    <row r="28" spans="1:31" s="6" customFormat="1" ht="22.2" customHeight="1" x14ac:dyDescent="0.3">
      <c r="A28" s="210" t="b">
        <f>'BD+C credit category view'!A51&gt;0</f>
        <v>0</v>
      </c>
      <c r="B28" s="210" t="b">
        <f>'BD+C credit category view'!B51&gt;0</f>
        <v>0</v>
      </c>
      <c r="C28" s="210" t="b">
        <f>'BD+C credit category view'!C51&gt;0</f>
        <v>0</v>
      </c>
      <c r="D28" s="236" t="s">
        <v>84</v>
      </c>
      <c r="E28" s="17" t="str">
        <f>'BD+C credit category view'!E51</f>
        <v>EAc7</v>
      </c>
      <c r="F28" s="7" t="s">
        <v>119</v>
      </c>
      <c r="G28" s="212" t="str">
        <f>'BD+C credit category view'!K51</f>
        <v/>
      </c>
      <c r="H28" s="26"/>
      <c r="M28" s="26"/>
      <c r="N28" s="26"/>
      <c r="O28" s="213"/>
      <c r="P28" s="26"/>
      <c r="W28" s="213"/>
      <c r="AA28" s="26"/>
      <c r="AB28" s="26"/>
      <c r="AC28" s="26"/>
      <c r="AD28" s="26"/>
      <c r="AE28" s="26"/>
    </row>
    <row r="29" spans="1:31" ht="22.2" customHeight="1" x14ac:dyDescent="0.3">
      <c r="A29" s="111" t="b">
        <f>'BD+C credit category view'!A54</f>
        <v>0</v>
      </c>
      <c r="B29" s="111" t="b">
        <f>'BD+C credit category view'!B54</f>
        <v>0</v>
      </c>
      <c r="C29" s="111" t="b">
        <f>'BD+C credit category view'!C54</f>
        <v>0</v>
      </c>
      <c r="D29" s="237" t="s">
        <v>142</v>
      </c>
      <c r="E29" s="29" t="str">
        <f>'BD+C credit category view'!E54</f>
        <v>MRp1</v>
      </c>
      <c r="F29" s="18" t="s">
        <v>125</v>
      </c>
      <c r="H29" s="26"/>
      <c r="I29" s="98"/>
      <c r="J29" s="98"/>
      <c r="K29" s="98"/>
      <c r="L29" s="98"/>
      <c r="M29" s="26"/>
      <c r="N29" s="26"/>
      <c r="O29" s="213"/>
      <c r="P29" s="26"/>
      <c r="Q29" s="98"/>
      <c r="R29" s="98"/>
      <c r="S29" s="98"/>
      <c r="T29" s="26"/>
      <c r="W29" s="213"/>
      <c r="X29" s="3"/>
      <c r="Y29" s="3"/>
      <c r="AA29" s="26"/>
      <c r="AB29" s="26"/>
      <c r="AC29" s="26"/>
      <c r="AD29" s="26"/>
      <c r="AE29" s="26"/>
    </row>
    <row r="30" spans="1:31" ht="22.2" customHeight="1" x14ac:dyDescent="0.3">
      <c r="A30" s="111" t="b">
        <f>'BD+C credit category view'!A55</f>
        <v>0</v>
      </c>
      <c r="B30" s="111" t="b">
        <f>'BD+C credit category view'!B55</f>
        <v>0</v>
      </c>
      <c r="C30" s="111" t="b">
        <f>'BD+C credit category view'!C55</f>
        <v>0</v>
      </c>
      <c r="D30" s="237" t="s">
        <v>142</v>
      </c>
      <c r="E30" s="29" t="str">
        <f>'BD+C credit category view'!E55</f>
        <v>MRp2</v>
      </c>
      <c r="F30" s="18" t="s">
        <v>126</v>
      </c>
      <c r="H30" s="26"/>
      <c r="I30" s="26"/>
      <c r="J30" s="26"/>
      <c r="K30" s="26"/>
      <c r="L30" s="26"/>
      <c r="M30" s="24"/>
      <c r="N30" s="24"/>
      <c r="O30" s="219"/>
      <c r="P30" s="23"/>
      <c r="Q30" s="26"/>
      <c r="R30" s="26"/>
      <c r="S30" s="26"/>
      <c r="T30" s="26"/>
      <c r="W30" s="219"/>
      <c r="X30" s="3"/>
      <c r="Y30" s="3"/>
    </row>
    <row r="31" spans="1:31" s="6" customFormat="1" ht="22.2" customHeight="1" x14ac:dyDescent="0.3">
      <c r="A31" s="210" t="b">
        <f>'BD+C credit category view'!A56&gt;0</f>
        <v>0</v>
      </c>
      <c r="B31" s="210" t="b">
        <f>'BD+C credit category view'!B56&gt;0</f>
        <v>0</v>
      </c>
      <c r="C31" s="210" t="b">
        <f>'BD+C credit category view'!C56&gt;0</f>
        <v>0</v>
      </c>
      <c r="D31" s="237" t="s">
        <v>82</v>
      </c>
      <c r="E31" s="17" t="str">
        <f>'BD+C credit category view'!E56</f>
        <v>MRc1</v>
      </c>
      <c r="F31" s="7" t="s">
        <v>127</v>
      </c>
      <c r="G31" s="212" t="str">
        <f>'BD+C credit category view'!K56</f>
        <v/>
      </c>
      <c r="H31" s="26"/>
      <c r="I31" s="121"/>
      <c r="J31" s="122"/>
      <c r="K31" s="122"/>
      <c r="L31" s="122"/>
      <c r="M31" s="122"/>
      <c r="N31" s="123"/>
      <c r="O31" s="213"/>
      <c r="P31" s="26"/>
      <c r="Q31" s="124"/>
      <c r="R31" s="125"/>
      <c r="S31" s="125"/>
      <c r="T31" s="125"/>
      <c r="U31" s="125"/>
      <c r="V31" s="126"/>
      <c r="W31" s="213"/>
      <c r="AA31" s="26"/>
      <c r="AB31" s="26"/>
      <c r="AC31" s="26"/>
    </row>
    <row r="32" spans="1:31" ht="22.2" customHeight="1" x14ac:dyDescent="0.3">
      <c r="A32" s="210" t="b">
        <f>'BD+C credit category view'!A57&gt;0</f>
        <v>0</v>
      </c>
      <c r="B32" s="210" t="b">
        <f>'BD+C credit category view'!B57&gt;0</f>
        <v>0</v>
      </c>
      <c r="C32" s="210" t="b">
        <f>'BD+C credit category view'!C57&gt;0</f>
        <v>0</v>
      </c>
      <c r="D32" s="237" t="s">
        <v>82</v>
      </c>
      <c r="E32" s="17" t="str">
        <f>'BD+C credit category view'!E57</f>
        <v>MRc2</v>
      </c>
      <c r="F32" s="7" t="s">
        <v>128</v>
      </c>
      <c r="G32" s="212" t="str">
        <f>'BD+C credit category view'!K57</f>
        <v/>
      </c>
      <c r="H32" s="26"/>
      <c r="I32" s="26"/>
      <c r="J32" s="26"/>
      <c r="K32" s="26"/>
      <c r="L32" s="26"/>
      <c r="M32" s="26"/>
      <c r="N32" s="26"/>
      <c r="O32" s="213"/>
      <c r="P32" s="26"/>
      <c r="Q32" s="26"/>
      <c r="R32" s="26"/>
      <c r="S32" s="26"/>
      <c r="T32" s="26"/>
      <c r="U32" s="26"/>
      <c r="V32" s="26"/>
      <c r="W32" s="213"/>
      <c r="X32" s="26"/>
      <c r="Y32" s="26"/>
      <c r="Z32" s="26"/>
      <c r="AA32" s="26"/>
      <c r="AB32" s="26"/>
      <c r="AC32" s="26"/>
    </row>
    <row r="33" spans="1:29" ht="22.2" customHeight="1" x14ac:dyDescent="0.3">
      <c r="A33" s="210" t="b">
        <f>'BD+C credit category view'!A59&gt;0</f>
        <v>0</v>
      </c>
      <c r="B33" s="210" t="b">
        <f>'BD+C credit category view'!B59&gt;0</f>
        <v>0</v>
      </c>
      <c r="C33" s="210" t="b">
        <f>'BD+C credit category view'!C59&gt;0</f>
        <v>0</v>
      </c>
      <c r="D33" s="237" t="s">
        <v>82</v>
      </c>
      <c r="E33" s="17" t="str">
        <f>'BD+C credit category view'!E59</f>
        <v>MRc4</v>
      </c>
      <c r="F33" s="7" t="s">
        <v>143</v>
      </c>
      <c r="G33" s="213" t="str">
        <f>'BD+C credit category view'!K59</f>
        <v/>
      </c>
      <c r="H33" s="26"/>
      <c r="I33" s="26"/>
      <c r="J33" s="26"/>
      <c r="K33" s="26"/>
      <c r="L33" s="26"/>
      <c r="M33" s="26"/>
      <c r="N33" s="26"/>
      <c r="O33" s="213"/>
      <c r="P33" s="26"/>
      <c r="Q33" s="26"/>
      <c r="R33" s="26"/>
      <c r="S33" s="26"/>
      <c r="T33" s="26"/>
      <c r="U33" s="26"/>
      <c r="V33" s="26"/>
      <c r="W33" s="213"/>
      <c r="X33" s="26"/>
      <c r="Y33" s="26"/>
      <c r="Z33" s="26"/>
      <c r="AA33" s="26"/>
      <c r="AB33" s="26"/>
      <c r="AC33" s="26"/>
    </row>
    <row r="34" spans="1:29" ht="22.2" customHeight="1" x14ac:dyDescent="0.3">
      <c r="A34" s="210" t="b">
        <f>'BD+C credit category view'!A60&gt;0</f>
        <v>0</v>
      </c>
      <c r="B34" s="210" t="b">
        <f>'BD+C credit category view'!B60&gt;0</f>
        <v>0</v>
      </c>
      <c r="C34" s="210" t="b">
        <f>'BD+C credit category view'!C60&gt;0</f>
        <v>0</v>
      </c>
      <c r="D34" s="237" t="s">
        <v>82</v>
      </c>
      <c r="E34" s="17" t="str">
        <f>'BD+C credit category view'!E60</f>
        <v>MRc5</v>
      </c>
      <c r="F34" s="7" t="s">
        <v>131</v>
      </c>
      <c r="G34" s="213" t="str">
        <f>'BD+C credit category view'!K60</f>
        <v/>
      </c>
      <c r="H34" s="26"/>
      <c r="I34" s="26"/>
      <c r="J34" s="26"/>
      <c r="K34" s="26"/>
      <c r="L34" s="26"/>
      <c r="M34" s="26"/>
      <c r="N34" s="26"/>
      <c r="O34" s="213"/>
      <c r="P34" s="26"/>
      <c r="Q34" s="26"/>
      <c r="R34" s="26"/>
      <c r="S34" s="26"/>
      <c r="T34" s="26"/>
      <c r="U34" s="26"/>
      <c r="V34" s="26"/>
      <c r="W34" s="213"/>
      <c r="X34" s="26"/>
      <c r="Y34" s="26"/>
      <c r="Z34" s="26"/>
      <c r="AA34" s="26"/>
      <c r="AB34" s="26"/>
      <c r="AC34" s="26"/>
    </row>
    <row r="35" spans="1:29" ht="22.2" customHeight="1" x14ac:dyDescent="0.3">
      <c r="F35" s="26"/>
      <c r="G35" s="213"/>
      <c r="H35" s="26"/>
      <c r="I35" s="26"/>
      <c r="J35" s="26"/>
      <c r="K35" s="26"/>
      <c r="L35" s="26"/>
      <c r="M35" s="26"/>
      <c r="N35" s="26"/>
      <c r="O35" s="213"/>
      <c r="P35" s="26"/>
      <c r="Q35" s="26"/>
      <c r="R35" s="26"/>
      <c r="S35" s="26"/>
      <c r="T35" s="26"/>
      <c r="U35" s="26"/>
      <c r="V35" s="26"/>
      <c r="W35" s="213"/>
      <c r="X35" s="26"/>
      <c r="Y35" s="26"/>
      <c r="Z35" s="26"/>
      <c r="AA35" s="26"/>
      <c r="AB35" s="26"/>
      <c r="AC35" s="26"/>
    </row>
    <row r="36" spans="1:29" x14ac:dyDescent="0.3">
      <c r="F36" s="26"/>
      <c r="G36" s="213"/>
      <c r="H36" s="26"/>
      <c r="I36" s="26"/>
      <c r="J36" s="26"/>
      <c r="K36" s="26"/>
      <c r="L36" s="26"/>
      <c r="M36" s="26"/>
      <c r="N36" s="26"/>
      <c r="O36" s="213"/>
      <c r="P36" s="26"/>
      <c r="Q36" s="26"/>
      <c r="R36" s="26"/>
      <c r="S36" s="26"/>
      <c r="T36" s="26"/>
      <c r="U36" s="26"/>
      <c r="V36" s="26"/>
      <c r="W36" s="213"/>
      <c r="X36" s="26"/>
      <c r="Y36" s="26"/>
      <c r="Z36" s="26"/>
      <c r="AA36" s="26"/>
      <c r="AB36" s="26"/>
      <c r="AC36" s="26"/>
    </row>
    <row r="37" spans="1:29" x14ac:dyDescent="0.3">
      <c r="F37" s="26"/>
      <c r="G37" s="213"/>
      <c r="H37" s="26"/>
      <c r="I37" s="26"/>
      <c r="J37" s="26"/>
      <c r="K37" s="26"/>
      <c r="L37" s="26"/>
      <c r="M37" s="26"/>
      <c r="N37" s="26"/>
      <c r="O37" s="213"/>
      <c r="P37" s="26"/>
      <c r="Q37" s="26"/>
      <c r="R37" s="26"/>
      <c r="S37" s="26"/>
      <c r="T37" s="26"/>
      <c r="U37" s="26"/>
      <c r="V37" s="26"/>
      <c r="W37" s="213"/>
      <c r="X37" s="26"/>
      <c r="Y37" s="26"/>
      <c r="Z37" s="26"/>
      <c r="AA37" s="26"/>
      <c r="AB37" s="26"/>
      <c r="AC37" s="26"/>
    </row>
    <row r="38" spans="1:29" x14ac:dyDescent="0.3">
      <c r="F38" s="26"/>
      <c r="G38" s="213"/>
      <c r="H38" s="26"/>
      <c r="I38" s="26"/>
      <c r="J38" s="26"/>
      <c r="K38" s="26"/>
      <c r="L38" s="26"/>
      <c r="M38" s="26"/>
      <c r="N38" s="26"/>
      <c r="O38" s="213"/>
      <c r="P38" s="26"/>
      <c r="Q38" s="26"/>
      <c r="R38" s="26"/>
      <c r="S38" s="26"/>
      <c r="T38" s="26"/>
      <c r="U38" s="26"/>
      <c r="V38" s="26"/>
      <c r="W38" s="213"/>
      <c r="X38" s="26"/>
      <c r="Y38" s="26"/>
      <c r="Z38" s="26"/>
      <c r="AA38" s="26"/>
      <c r="AB38" s="26"/>
      <c r="AC38" s="26"/>
    </row>
    <row r="39" spans="1:29" x14ac:dyDescent="0.3">
      <c r="F39" s="26"/>
      <c r="G39" s="213"/>
      <c r="H39" s="26"/>
      <c r="I39" s="26"/>
      <c r="J39" s="26"/>
      <c r="K39" s="26"/>
      <c r="L39" s="26"/>
      <c r="M39" s="26"/>
      <c r="N39" s="26"/>
      <c r="O39" s="213"/>
      <c r="P39" s="26"/>
      <c r="Q39" s="26"/>
      <c r="R39" s="26"/>
      <c r="S39" s="26"/>
      <c r="T39" s="26"/>
      <c r="U39" s="26"/>
      <c r="V39" s="26"/>
      <c r="W39" s="213"/>
      <c r="X39" s="26"/>
      <c r="Y39" s="26"/>
      <c r="Z39" s="26"/>
      <c r="AA39" s="26"/>
      <c r="AB39" s="26"/>
      <c r="AC39" s="26"/>
    </row>
    <row r="40" spans="1:29" x14ac:dyDescent="0.3">
      <c r="F40" s="26"/>
      <c r="G40" s="213"/>
      <c r="H40" s="26"/>
      <c r="I40" s="26"/>
      <c r="J40" s="26"/>
      <c r="K40" s="26"/>
      <c r="L40" s="26"/>
      <c r="M40" s="26"/>
      <c r="N40" s="26"/>
      <c r="O40" s="213"/>
      <c r="P40" s="26"/>
      <c r="Q40" s="26"/>
      <c r="R40" s="26"/>
      <c r="S40" s="26"/>
      <c r="T40" s="26"/>
      <c r="U40" s="26"/>
      <c r="V40" s="26"/>
      <c r="W40" s="213"/>
      <c r="X40" s="26"/>
      <c r="Y40" s="26"/>
      <c r="Z40" s="26"/>
      <c r="AA40" s="26"/>
      <c r="AB40" s="26"/>
      <c r="AC40" s="26"/>
    </row>
    <row r="41" spans="1:29" x14ac:dyDescent="0.3">
      <c r="F41" s="19"/>
      <c r="N41" s="4"/>
      <c r="P41" s="4"/>
      <c r="X41" s="3"/>
      <c r="Y41" s="3"/>
    </row>
    <row r="42" spans="1:29" x14ac:dyDescent="0.3">
      <c r="F42" s="19"/>
      <c r="N42" s="4"/>
      <c r="P42" s="4"/>
      <c r="X42" s="3"/>
      <c r="Y42" s="3"/>
    </row>
    <row r="43" spans="1:29" x14ac:dyDescent="0.3">
      <c r="F43" s="19"/>
      <c r="N43" s="4"/>
      <c r="P43" s="4"/>
      <c r="X43" s="3"/>
      <c r="Y43" s="3"/>
    </row>
    <row r="44" spans="1:29" x14ac:dyDescent="0.3">
      <c r="F44" s="19"/>
      <c r="X44" s="3"/>
      <c r="Y44" s="3"/>
    </row>
    <row r="45" spans="1:29" x14ac:dyDescent="0.3">
      <c r="F45" s="19"/>
      <c r="X45" s="3"/>
      <c r="Y45" s="3"/>
    </row>
    <row r="46" spans="1:29" x14ac:dyDescent="0.3">
      <c r="X46" s="3"/>
      <c r="Y46" s="3"/>
    </row>
    <row r="47" spans="1:29" x14ac:dyDescent="0.3">
      <c r="X47" s="3"/>
      <c r="Y47" s="3"/>
    </row>
    <row r="48" spans="1:29" x14ac:dyDescent="0.3">
      <c r="X48" s="3"/>
      <c r="Y48" s="3"/>
    </row>
  </sheetData>
  <mergeCells count="3">
    <mergeCell ref="I5:N5"/>
    <mergeCell ref="A5:F5"/>
    <mergeCell ref="Q5:V5"/>
  </mergeCells>
  <pageMargins left="0.25" right="0.25" top="0.75" bottom="0.75" header="0.3" footer="0.3"/>
  <pageSetup scale="44" orientation="landscape" horizontalDpi="1200" verticalDpi="1200" r:id="rId1"/>
  <ignoredErrors>
    <ignoredError sqref="Q9:S9" formula="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E3811D-8430-4F55-93DB-36C4F1D577B6}">
  <dimension ref="A1:BZ54"/>
  <sheetViews>
    <sheetView zoomScale="80" zoomScaleNormal="80" workbookViewId="0">
      <pane ySplit="4" topLeftCell="A5" activePane="bottomLeft" state="frozen"/>
      <selection pane="bottomLeft" activeCell="A2" sqref="A2"/>
    </sheetView>
  </sheetViews>
  <sheetFormatPr defaultColWidth="8.88671875" defaultRowHeight="14.4" x14ac:dyDescent="0.3"/>
  <cols>
    <col min="1" max="29" width="8.88671875" style="128"/>
    <col min="30" max="62" width="8.88671875" style="183"/>
    <col min="63" max="73" width="8.88671875" style="174"/>
    <col min="74" max="75" width="8.88671875" style="183"/>
    <col min="76" max="16384" width="8.88671875" style="128"/>
  </cols>
  <sheetData>
    <row r="1" spans="1:78" ht="22.2" x14ac:dyDescent="0.3">
      <c r="A1" s="13"/>
      <c r="B1" s="13"/>
      <c r="C1" s="13"/>
      <c r="D1" s="30"/>
      <c r="E1" s="31"/>
      <c r="F1" s="32"/>
      <c r="G1" s="33"/>
      <c r="H1" s="33"/>
      <c r="I1" s="2"/>
      <c r="J1" s="1"/>
      <c r="K1" s="69"/>
      <c r="L1" s="69"/>
      <c r="M1" s="113"/>
      <c r="BJ1" s="184"/>
      <c r="BN1" s="175"/>
    </row>
    <row r="2" spans="1:78" ht="27.6" x14ac:dyDescent="0.3">
      <c r="A2" s="34" t="s">
        <v>156</v>
      </c>
      <c r="B2" s="34"/>
      <c r="C2" s="13"/>
      <c r="D2" s="30"/>
      <c r="E2" s="1"/>
      <c r="F2" s="35"/>
      <c r="G2" s="35"/>
      <c r="H2" s="35"/>
      <c r="I2" s="36"/>
      <c r="J2" s="1"/>
      <c r="K2" s="69"/>
      <c r="L2" s="69"/>
      <c r="M2" s="113"/>
      <c r="BJ2" s="184"/>
      <c r="BN2" s="175"/>
    </row>
    <row r="3" spans="1:78" ht="13.95" customHeight="1" x14ac:dyDescent="0.3">
      <c r="A3" s="142" t="s">
        <v>21</v>
      </c>
      <c r="B3" s="165"/>
      <c r="C3" s="143"/>
      <c r="D3" s="166"/>
      <c r="E3" s="115"/>
      <c r="F3" s="167"/>
      <c r="G3" s="167"/>
      <c r="H3" s="167"/>
      <c r="I3" s="168"/>
      <c r="J3" s="115"/>
      <c r="K3" s="146"/>
      <c r="L3" s="146"/>
      <c r="M3" s="147"/>
      <c r="N3" s="148"/>
      <c r="O3" s="148"/>
      <c r="P3" s="148"/>
      <c r="Q3" s="148"/>
      <c r="R3" s="148"/>
      <c r="S3" s="148"/>
      <c r="T3" s="148"/>
      <c r="U3" s="148"/>
      <c r="V3" s="148"/>
      <c r="W3" s="148"/>
      <c r="X3" s="148"/>
      <c r="BJ3" s="184"/>
    </row>
    <row r="4" spans="1:78" x14ac:dyDescent="0.3">
      <c r="B4" s="142"/>
      <c r="C4" s="143"/>
      <c r="D4" s="144"/>
      <c r="E4" s="115"/>
      <c r="F4" s="115"/>
      <c r="G4" s="115"/>
      <c r="H4" s="115"/>
      <c r="I4" s="145"/>
      <c r="J4" s="115"/>
      <c r="K4" s="146"/>
      <c r="L4" s="146"/>
      <c r="M4" s="147"/>
      <c r="N4" s="148"/>
      <c r="O4" s="148"/>
      <c r="P4" s="148"/>
      <c r="Q4" s="148"/>
      <c r="R4" s="148"/>
      <c r="S4" s="148"/>
      <c r="T4" s="148"/>
      <c r="U4" s="148"/>
      <c r="V4" s="148"/>
      <c r="W4" s="148"/>
      <c r="X4" s="148"/>
      <c r="BJ4" s="184"/>
      <c r="BN4" s="175"/>
    </row>
    <row r="5" spans="1:78" x14ac:dyDescent="0.3">
      <c r="A5" s="153"/>
      <c r="B5" s="154"/>
      <c r="C5" s="154"/>
      <c r="D5" s="154"/>
      <c r="E5" s="154"/>
      <c r="F5" s="154"/>
      <c r="G5" s="154"/>
      <c r="H5" s="154"/>
      <c r="I5" s="154"/>
      <c r="J5" s="154"/>
      <c r="K5" s="154"/>
      <c r="L5" s="154"/>
      <c r="M5" s="154"/>
      <c r="N5" s="154"/>
      <c r="O5" s="154"/>
      <c r="P5" s="154"/>
      <c r="Q5" s="154"/>
      <c r="R5" s="154"/>
      <c r="S5" s="154"/>
      <c r="T5" s="154"/>
      <c r="U5" s="154"/>
      <c r="V5" s="154"/>
      <c r="W5" s="154"/>
      <c r="X5" s="155"/>
      <c r="Y5" s="127"/>
      <c r="BJ5" s="184"/>
      <c r="BN5" s="175"/>
    </row>
    <row r="6" spans="1:78" x14ac:dyDescent="0.3">
      <c r="A6" s="156"/>
      <c r="B6" s="138"/>
      <c r="C6" s="138"/>
      <c r="D6" s="138"/>
      <c r="E6" s="138"/>
      <c r="F6" s="138"/>
      <c r="G6" s="138"/>
      <c r="H6" s="138"/>
      <c r="I6" s="138"/>
      <c r="J6" s="138"/>
      <c r="K6" s="138"/>
      <c r="L6" s="138"/>
      <c r="M6" s="138"/>
      <c r="N6" s="138"/>
      <c r="O6" s="138"/>
      <c r="P6" s="138"/>
      <c r="Q6" s="138"/>
      <c r="R6" s="138"/>
      <c r="S6" s="138"/>
      <c r="T6" s="138"/>
      <c r="U6" s="138"/>
      <c r="V6" s="138"/>
      <c r="W6" s="138"/>
      <c r="X6" s="157"/>
      <c r="Y6" s="127"/>
      <c r="BK6" s="176"/>
      <c r="BL6" s="176"/>
      <c r="BM6" s="176"/>
      <c r="BN6" s="177"/>
    </row>
    <row r="7" spans="1:78" ht="18" x14ac:dyDescent="0.3">
      <c r="A7" s="156"/>
      <c r="B7" s="138"/>
      <c r="C7" s="138"/>
      <c r="D7" s="138"/>
      <c r="E7" s="138"/>
      <c r="F7" s="138"/>
      <c r="G7" s="138"/>
      <c r="H7" s="138"/>
      <c r="I7" s="138"/>
      <c r="J7" s="138"/>
      <c r="K7" s="138"/>
      <c r="L7" s="138"/>
      <c r="M7" s="138"/>
      <c r="N7" s="138"/>
      <c r="O7" s="138"/>
      <c r="P7" s="138"/>
      <c r="Q7" s="138"/>
      <c r="R7" s="138"/>
      <c r="S7" s="138"/>
      <c r="T7" s="138"/>
      <c r="U7" s="138"/>
      <c r="V7" s="138"/>
      <c r="W7" s="138"/>
      <c r="X7" s="157"/>
      <c r="Y7" s="127"/>
      <c r="BW7" s="185"/>
      <c r="BX7" s="129"/>
      <c r="BY7" s="130"/>
      <c r="BZ7" s="129"/>
    </row>
    <row r="8" spans="1:78" ht="18" x14ac:dyDescent="0.3">
      <c r="A8" s="156"/>
      <c r="B8" s="138"/>
      <c r="C8" s="138"/>
      <c r="D8" s="138"/>
      <c r="E8" s="138"/>
      <c r="F8" s="138"/>
      <c r="G8" s="138"/>
      <c r="H8" s="138"/>
      <c r="I8" s="138"/>
      <c r="J8" s="138"/>
      <c r="K8" s="138"/>
      <c r="L8" s="138"/>
      <c r="M8" s="138"/>
      <c r="N8" s="138"/>
      <c r="O8" s="138"/>
      <c r="P8" s="138"/>
      <c r="Q8" s="138"/>
      <c r="R8" s="138"/>
      <c r="S8" s="138"/>
      <c r="T8" s="138"/>
      <c r="U8" s="138"/>
      <c r="V8" s="138"/>
      <c r="W8" s="138"/>
      <c r="X8" s="157"/>
      <c r="Y8" s="127"/>
      <c r="BW8" s="186"/>
      <c r="BX8" s="132"/>
      <c r="BY8" s="131"/>
      <c r="BZ8" s="133"/>
    </row>
    <row r="9" spans="1:78" x14ac:dyDescent="0.3">
      <c r="A9" s="156"/>
      <c r="B9" s="138"/>
      <c r="C9" s="138"/>
      <c r="D9" s="138"/>
      <c r="E9" s="138"/>
      <c r="F9" s="138"/>
      <c r="G9" s="138"/>
      <c r="H9" s="138"/>
      <c r="I9" s="138"/>
      <c r="J9" s="138"/>
      <c r="K9" s="138"/>
      <c r="L9" s="138"/>
      <c r="M9" s="138"/>
      <c r="N9" s="138"/>
      <c r="O9" s="138"/>
      <c r="P9" s="138"/>
      <c r="Q9" s="138"/>
      <c r="R9" s="138"/>
      <c r="S9" s="138"/>
      <c r="T9" s="138"/>
      <c r="U9" s="138"/>
      <c r="V9" s="138"/>
      <c r="W9" s="138"/>
      <c r="X9" s="157"/>
      <c r="Y9" s="127"/>
    </row>
    <row r="10" spans="1:78" x14ac:dyDescent="0.3">
      <c r="A10" s="156"/>
      <c r="B10" s="138"/>
      <c r="C10" s="138"/>
      <c r="D10" s="138"/>
      <c r="E10" s="138"/>
      <c r="F10" s="138"/>
      <c r="G10" s="138"/>
      <c r="H10" s="138"/>
      <c r="I10" s="138"/>
      <c r="J10" s="138"/>
      <c r="K10" s="138"/>
      <c r="L10" s="138"/>
      <c r="M10" s="138"/>
      <c r="N10" s="138"/>
      <c r="O10" s="138"/>
      <c r="P10" s="138"/>
      <c r="Q10" s="138"/>
      <c r="R10" s="138"/>
      <c r="S10" s="138"/>
      <c r="T10" s="138"/>
      <c r="U10" s="138"/>
      <c r="V10" s="138"/>
      <c r="W10" s="138"/>
      <c r="X10" s="157"/>
      <c r="Y10" s="127"/>
    </row>
    <row r="11" spans="1:78" x14ac:dyDescent="0.3">
      <c r="A11" s="156"/>
      <c r="B11" s="138"/>
      <c r="C11" s="138"/>
      <c r="D11" s="138"/>
      <c r="E11" s="138"/>
      <c r="F11" s="138"/>
      <c r="G11" s="138"/>
      <c r="H11" s="138"/>
      <c r="I11" s="138"/>
      <c r="J11" s="138"/>
      <c r="K11" s="138"/>
      <c r="L11" s="138"/>
      <c r="M11" s="138"/>
      <c r="N11" s="138"/>
      <c r="O11" s="138"/>
      <c r="P11" s="138"/>
      <c r="Q11" s="138"/>
      <c r="R11" s="138"/>
      <c r="S11" s="138"/>
      <c r="T11" s="138"/>
      <c r="U11" s="138"/>
      <c r="V11" s="138"/>
      <c r="W11" s="138"/>
      <c r="X11" s="157"/>
      <c r="Y11" s="127"/>
    </row>
    <row r="12" spans="1:78" x14ac:dyDescent="0.3">
      <c r="A12" s="156"/>
      <c r="B12" s="138"/>
      <c r="C12" s="138"/>
      <c r="D12" s="138"/>
      <c r="E12" s="138"/>
      <c r="F12" s="138"/>
      <c r="G12" s="138"/>
      <c r="H12" s="138"/>
      <c r="I12" s="138"/>
      <c r="J12" s="138"/>
      <c r="K12" s="138"/>
      <c r="L12" s="138"/>
      <c r="M12" s="138"/>
      <c r="N12" s="138"/>
      <c r="O12" s="138"/>
      <c r="P12" s="138"/>
      <c r="Q12" s="138"/>
      <c r="R12" s="138"/>
      <c r="S12" s="138"/>
      <c r="T12" s="138"/>
      <c r="U12" s="138"/>
      <c r="V12" s="138"/>
      <c r="W12" s="138"/>
      <c r="X12" s="157"/>
      <c r="Y12" s="127"/>
    </row>
    <row r="13" spans="1:78" x14ac:dyDescent="0.3">
      <c r="A13" s="156"/>
      <c r="B13" s="138"/>
      <c r="C13" s="138"/>
      <c r="D13" s="138"/>
      <c r="E13" s="138"/>
      <c r="F13" s="138"/>
      <c r="G13" s="138"/>
      <c r="H13" s="138"/>
      <c r="I13" s="138"/>
      <c r="J13" s="138"/>
      <c r="K13" s="138"/>
      <c r="L13" s="138"/>
      <c r="M13" s="138"/>
      <c r="N13" s="138"/>
      <c r="O13" s="138"/>
      <c r="P13" s="138"/>
      <c r="Q13" s="138"/>
      <c r="R13" s="138"/>
      <c r="S13" s="138"/>
      <c r="T13" s="138"/>
      <c r="U13" s="138"/>
      <c r="V13" s="138"/>
      <c r="W13" s="138"/>
      <c r="X13" s="157"/>
      <c r="Y13" s="127"/>
    </row>
    <row r="14" spans="1:78" x14ac:dyDescent="0.3">
      <c r="A14" s="156"/>
      <c r="B14" s="138"/>
      <c r="C14" s="138"/>
      <c r="D14" s="138"/>
      <c r="E14" s="138"/>
      <c r="F14" s="138"/>
      <c r="G14" s="138"/>
      <c r="H14" s="138"/>
      <c r="I14" s="138"/>
      <c r="J14" s="138"/>
      <c r="K14" s="138"/>
      <c r="L14" s="138"/>
      <c r="M14" s="138"/>
      <c r="N14" s="138"/>
      <c r="O14" s="138"/>
      <c r="P14" s="138"/>
      <c r="Q14" s="138"/>
      <c r="R14" s="138"/>
      <c r="S14" s="138"/>
      <c r="T14" s="138"/>
      <c r="U14" s="138"/>
      <c r="V14" s="138"/>
      <c r="W14" s="138"/>
      <c r="X14" s="157"/>
      <c r="Y14" s="127"/>
    </row>
    <row r="15" spans="1:78" x14ac:dyDescent="0.3">
      <c r="A15" s="156"/>
      <c r="B15" s="138"/>
      <c r="C15" s="138"/>
      <c r="D15" s="138"/>
      <c r="E15" s="138"/>
      <c r="F15" s="138"/>
      <c r="G15" s="138"/>
      <c r="H15" s="138"/>
      <c r="I15" s="138"/>
      <c r="J15" s="138"/>
      <c r="K15" s="138"/>
      <c r="L15" s="138"/>
      <c r="M15" s="138"/>
      <c r="N15" s="138"/>
      <c r="O15" s="138"/>
      <c r="P15" s="138"/>
      <c r="Q15" s="138"/>
      <c r="R15" s="138"/>
      <c r="S15" s="138"/>
      <c r="T15" s="138"/>
      <c r="U15" s="138"/>
      <c r="V15" s="138"/>
      <c r="W15" s="138"/>
      <c r="X15" s="157"/>
      <c r="Y15" s="127"/>
    </row>
    <row r="16" spans="1:78" x14ac:dyDescent="0.3">
      <c r="A16" s="156"/>
      <c r="B16" s="138"/>
      <c r="C16" s="138"/>
      <c r="D16" s="138"/>
      <c r="E16" s="138"/>
      <c r="F16" s="138"/>
      <c r="G16" s="138"/>
      <c r="H16" s="138"/>
      <c r="I16" s="138"/>
      <c r="J16" s="138"/>
      <c r="K16" s="138"/>
      <c r="L16" s="138"/>
      <c r="M16" s="138"/>
      <c r="N16" s="138"/>
      <c r="O16" s="138"/>
      <c r="P16" s="138"/>
      <c r="Q16" s="138"/>
      <c r="R16" s="138"/>
      <c r="S16" s="138"/>
      <c r="T16" s="138"/>
      <c r="U16" s="138"/>
      <c r="V16" s="138"/>
      <c r="W16" s="138"/>
      <c r="X16" s="157"/>
      <c r="Y16" s="127"/>
    </row>
    <row r="17" spans="1:25" x14ac:dyDescent="0.3">
      <c r="A17" s="156"/>
      <c r="B17" s="138"/>
      <c r="C17" s="138"/>
      <c r="D17" s="138"/>
      <c r="E17" s="138"/>
      <c r="F17" s="138"/>
      <c r="G17" s="138"/>
      <c r="H17" s="138"/>
      <c r="I17" s="138"/>
      <c r="J17" s="138"/>
      <c r="K17" s="138"/>
      <c r="L17" s="138"/>
      <c r="M17" s="138"/>
      <c r="N17" s="138"/>
      <c r="O17" s="138"/>
      <c r="P17" s="138"/>
      <c r="Q17" s="138"/>
      <c r="R17" s="138"/>
      <c r="S17" s="138"/>
      <c r="T17" s="138"/>
      <c r="U17" s="138"/>
      <c r="V17" s="138"/>
      <c r="W17" s="138"/>
      <c r="X17" s="157"/>
      <c r="Y17" s="127"/>
    </row>
    <row r="18" spans="1:25" x14ac:dyDescent="0.3">
      <c r="A18" s="156"/>
      <c r="B18" s="138"/>
      <c r="C18" s="138"/>
      <c r="D18" s="138"/>
      <c r="E18" s="138"/>
      <c r="F18" s="138"/>
      <c r="G18" s="138"/>
      <c r="H18" s="138"/>
      <c r="I18" s="138"/>
      <c r="J18" s="138"/>
      <c r="K18" s="138"/>
      <c r="L18" s="138"/>
      <c r="M18" s="138"/>
      <c r="N18" s="138"/>
      <c r="O18" s="138"/>
      <c r="P18" s="138"/>
      <c r="Q18" s="138"/>
      <c r="R18" s="138"/>
      <c r="S18" s="138"/>
      <c r="T18" s="138"/>
      <c r="U18" s="138"/>
      <c r="V18" s="138"/>
      <c r="W18" s="138"/>
      <c r="X18" s="157"/>
      <c r="Y18" s="127"/>
    </row>
    <row r="19" spans="1:25" x14ac:dyDescent="0.3">
      <c r="A19" s="156"/>
      <c r="B19" s="138"/>
      <c r="C19" s="138"/>
      <c r="D19" s="138"/>
      <c r="E19" s="138"/>
      <c r="F19" s="138"/>
      <c r="G19" s="138"/>
      <c r="H19" s="138"/>
      <c r="I19" s="138"/>
      <c r="J19" s="138"/>
      <c r="K19" s="138"/>
      <c r="L19" s="138"/>
      <c r="M19" s="138"/>
      <c r="N19" s="138"/>
      <c r="O19" s="138"/>
      <c r="P19" s="138"/>
      <c r="Q19" s="138"/>
      <c r="R19" s="138"/>
      <c r="S19" s="138"/>
      <c r="T19" s="138"/>
      <c r="U19" s="138"/>
      <c r="V19" s="138"/>
      <c r="W19" s="138"/>
      <c r="X19" s="157"/>
      <c r="Y19" s="127"/>
    </row>
    <row r="20" spans="1:25" x14ac:dyDescent="0.3">
      <c r="A20" s="156"/>
      <c r="B20" s="138"/>
      <c r="C20" s="138"/>
      <c r="D20" s="138"/>
      <c r="E20" s="138"/>
      <c r="F20" s="138"/>
      <c r="G20" s="138"/>
      <c r="H20" s="138"/>
      <c r="I20" s="138"/>
      <c r="J20" s="138"/>
      <c r="K20" s="138"/>
      <c r="L20" s="138"/>
      <c r="M20" s="138"/>
      <c r="N20" s="138"/>
      <c r="O20" s="138"/>
      <c r="P20" s="138"/>
      <c r="Q20" s="138"/>
      <c r="R20" s="138"/>
      <c r="S20" s="138"/>
      <c r="T20" s="138"/>
      <c r="U20" s="138"/>
      <c r="V20" s="138"/>
      <c r="W20" s="138"/>
      <c r="X20" s="157"/>
      <c r="Y20" s="127"/>
    </row>
    <row r="21" spans="1:25" x14ac:dyDescent="0.3">
      <c r="A21" s="156"/>
      <c r="B21" s="138"/>
      <c r="C21" s="138"/>
      <c r="D21" s="138"/>
      <c r="E21" s="138"/>
      <c r="F21" s="138"/>
      <c r="G21" s="138"/>
      <c r="H21" s="138"/>
      <c r="I21" s="138"/>
      <c r="J21" s="138"/>
      <c r="K21" s="138"/>
      <c r="L21" s="138"/>
      <c r="M21" s="138"/>
      <c r="N21" s="138"/>
      <c r="O21" s="138"/>
      <c r="P21" s="138"/>
      <c r="Q21" s="138"/>
      <c r="R21" s="138"/>
      <c r="S21" s="138"/>
      <c r="T21" s="138"/>
      <c r="U21" s="138"/>
      <c r="V21" s="138"/>
      <c r="W21" s="138"/>
      <c r="X21" s="157"/>
      <c r="Y21" s="127"/>
    </row>
    <row r="22" spans="1:25" x14ac:dyDescent="0.3">
      <c r="A22" s="156"/>
      <c r="B22" s="138"/>
      <c r="C22" s="138"/>
      <c r="D22" s="138"/>
      <c r="E22" s="138"/>
      <c r="F22" s="138"/>
      <c r="G22" s="138"/>
      <c r="H22" s="138"/>
      <c r="I22" s="138"/>
      <c r="J22" s="138"/>
      <c r="K22" s="138"/>
      <c r="L22" s="138"/>
      <c r="M22" s="138"/>
      <c r="N22" s="138"/>
      <c r="O22" s="138"/>
      <c r="P22" s="138"/>
      <c r="Q22" s="138"/>
      <c r="R22" s="138"/>
      <c r="S22" s="138"/>
      <c r="T22" s="138"/>
      <c r="U22" s="138"/>
      <c r="V22" s="138"/>
      <c r="W22" s="138"/>
      <c r="X22" s="157"/>
      <c r="Y22" s="127"/>
    </row>
    <row r="23" spans="1:25" x14ac:dyDescent="0.3">
      <c r="A23" s="156"/>
      <c r="B23" s="138"/>
      <c r="C23" s="138"/>
      <c r="D23" s="138"/>
      <c r="E23" s="138"/>
      <c r="F23" s="138"/>
      <c r="G23" s="138"/>
      <c r="H23" s="138"/>
      <c r="I23" s="138"/>
      <c r="J23" s="138"/>
      <c r="K23" s="138"/>
      <c r="L23" s="138"/>
      <c r="M23" s="138"/>
      <c r="N23" s="138"/>
      <c r="O23" s="138"/>
      <c r="P23" s="138"/>
      <c r="Q23" s="138"/>
      <c r="R23" s="138"/>
      <c r="S23" s="138"/>
      <c r="T23" s="138"/>
      <c r="U23" s="138"/>
      <c r="V23" s="138"/>
      <c r="W23" s="138"/>
      <c r="X23" s="157"/>
      <c r="Y23" s="127"/>
    </row>
    <row r="24" spans="1:25" x14ac:dyDescent="0.3">
      <c r="A24" s="156"/>
      <c r="B24" s="138"/>
      <c r="C24" s="138"/>
      <c r="D24" s="138"/>
      <c r="E24" s="138"/>
      <c r="F24" s="138"/>
      <c r="G24" s="138"/>
      <c r="H24" s="138"/>
      <c r="I24" s="138"/>
      <c r="J24" s="138"/>
      <c r="K24" s="138"/>
      <c r="L24" s="138"/>
      <c r="M24" s="138"/>
      <c r="N24" s="138"/>
      <c r="O24" s="138"/>
      <c r="P24" s="138"/>
      <c r="Q24" s="138"/>
      <c r="R24" s="138"/>
      <c r="S24" s="138"/>
      <c r="T24" s="138"/>
      <c r="U24" s="138"/>
      <c r="V24" s="138"/>
      <c r="W24" s="138"/>
      <c r="X24" s="157"/>
      <c r="Y24" s="127"/>
    </row>
    <row r="25" spans="1:25" x14ac:dyDescent="0.3">
      <c r="A25" s="156"/>
      <c r="B25" s="138"/>
      <c r="C25" s="138"/>
      <c r="D25" s="138"/>
      <c r="E25" s="138"/>
      <c r="F25" s="138"/>
      <c r="G25" s="138"/>
      <c r="H25" s="138"/>
      <c r="I25" s="138"/>
      <c r="J25" s="138"/>
      <c r="K25" s="138"/>
      <c r="L25" s="138"/>
      <c r="M25" s="138"/>
      <c r="N25" s="138"/>
      <c r="O25" s="138"/>
      <c r="P25" s="138"/>
      <c r="Q25" s="138"/>
      <c r="R25" s="138"/>
      <c r="S25" s="138"/>
      <c r="T25" s="138"/>
      <c r="U25" s="138"/>
      <c r="V25" s="138"/>
      <c r="W25" s="138"/>
      <c r="X25" s="157"/>
      <c r="Y25" s="127"/>
    </row>
    <row r="26" spans="1:25" x14ac:dyDescent="0.3">
      <c r="A26" s="156"/>
      <c r="B26" s="138"/>
      <c r="C26" s="138"/>
      <c r="D26" s="138"/>
      <c r="E26" s="138"/>
      <c r="F26" s="138"/>
      <c r="G26" s="138"/>
      <c r="H26" s="138"/>
      <c r="I26" s="138"/>
      <c r="J26" s="138"/>
      <c r="K26" s="138"/>
      <c r="L26" s="138"/>
      <c r="M26" s="138"/>
      <c r="N26" s="138"/>
      <c r="O26" s="138"/>
      <c r="P26" s="138"/>
      <c r="Q26" s="138"/>
      <c r="R26" s="138"/>
      <c r="S26" s="138"/>
      <c r="T26" s="138"/>
      <c r="U26" s="138"/>
      <c r="V26" s="138"/>
      <c r="W26" s="138"/>
      <c r="X26" s="157"/>
      <c r="Y26" s="127"/>
    </row>
    <row r="27" spans="1:25" x14ac:dyDescent="0.3">
      <c r="A27" s="156"/>
      <c r="B27" s="138"/>
      <c r="C27" s="138"/>
      <c r="D27" s="138"/>
      <c r="E27" s="138"/>
      <c r="F27" s="138"/>
      <c r="G27" s="138"/>
      <c r="H27" s="138"/>
      <c r="I27" s="138"/>
      <c r="J27" s="138"/>
      <c r="K27" s="138"/>
      <c r="L27" s="138"/>
      <c r="M27" s="138"/>
      <c r="N27" s="138"/>
      <c r="O27" s="138"/>
      <c r="P27" s="138"/>
      <c r="Q27" s="138"/>
      <c r="R27" s="138"/>
      <c r="S27" s="138"/>
      <c r="T27" s="138"/>
      <c r="U27" s="138"/>
      <c r="V27" s="138"/>
      <c r="W27" s="138"/>
      <c r="X27" s="157"/>
      <c r="Y27" s="127"/>
    </row>
    <row r="28" spans="1:25" x14ac:dyDescent="0.3">
      <c r="A28" s="156"/>
      <c r="B28" s="138"/>
      <c r="C28" s="138"/>
      <c r="D28" s="138"/>
      <c r="E28" s="138"/>
      <c r="F28" s="138"/>
      <c r="G28" s="138"/>
      <c r="H28" s="138"/>
      <c r="I28" s="138"/>
      <c r="J28" s="138"/>
      <c r="K28" s="138"/>
      <c r="L28" s="138"/>
      <c r="M28" s="138"/>
      <c r="N28" s="138"/>
      <c r="O28" s="138"/>
      <c r="P28" s="138"/>
      <c r="Q28" s="138"/>
      <c r="R28" s="138"/>
      <c r="S28" s="138"/>
      <c r="T28" s="138"/>
      <c r="U28" s="138"/>
      <c r="V28" s="138"/>
      <c r="W28" s="138"/>
      <c r="X28" s="157"/>
      <c r="Y28" s="127"/>
    </row>
    <row r="29" spans="1:25" x14ac:dyDescent="0.3">
      <c r="A29" s="156"/>
      <c r="B29" s="138"/>
      <c r="C29" s="138"/>
      <c r="D29" s="138"/>
      <c r="E29" s="138"/>
      <c r="F29" s="138"/>
      <c r="G29" s="138"/>
      <c r="H29" s="138"/>
      <c r="I29" s="138"/>
      <c r="J29" s="138"/>
      <c r="K29" s="138"/>
      <c r="L29" s="138"/>
      <c r="M29" s="138"/>
      <c r="N29" s="138"/>
      <c r="O29" s="138"/>
      <c r="P29" s="138"/>
      <c r="Q29" s="138"/>
      <c r="R29" s="138"/>
      <c r="S29" s="138"/>
      <c r="T29" s="138"/>
      <c r="U29" s="138"/>
      <c r="V29" s="138"/>
      <c r="W29" s="138"/>
      <c r="X29" s="157"/>
      <c r="Y29" s="127"/>
    </row>
    <row r="30" spans="1:25" x14ac:dyDescent="0.3">
      <c r="A30" s="156"/>
      <c r="B30" s="138"/>
      <c r="C30" s="138"/>
      <c r="D30" s="138"/>
      <c r="E30" s="138"/>
      <c r="F30" s="138"/>
      <c r="G30" s="138"/>
      <c r="H30" s="138"/>
      <c r="I30" s="138"/>
      <c r="J30" s="138"/>
      <c r="K30" s="138"/>
      <c r="L30" s="138"/>
      <c r="M30" s="138"/>
      <c r="N30" s="138"/>
      <c r="O30" s="138"/>
      <c r="P30" s="138"/>
      <c r="Q30" s="138"/>
      <c r="R30" s="138"/>
      <c r="S30" s="138"/>
      <c r="T30" s="138"/>
      <c r="U30" s="138"/>
      <c r="V30" s="138"/>
      <c r="W30" s="138"/>
      <c r="X30" s="157"/>
      <c r="Y30" s="127"/>
    </row>
    <row r="31" spans="1:25" x14ac:dyDescent="0.3">
      <c r="A31" s="156"/>
      <c r="B31" s="138"/>
      <c r="C31" s="138"/>
      <c r="D31" s="138"/>
      <c r="E31" s="138"/>
      <c r="F31" s="138"/>
      <c r="G31" s="138"/>
      <c r="H31" s="138"/>
      <c r="I31" s="138"/>
      <c r="J31" s="138"/>
      <c r="K31" s="138"/>
      <c r="L31" s="138"/>
      <c r="M31" s="138"/>
      <c r="N31" s="138"/>
      <c r="O31" s="138"/>
      <c r="P31" s="138"/>
      <c r="Q31" s="138"/>
      <c r="R31" s="138"/>
      <c r="S31" s="138"/>
      <c r="T31" s="138"/>
      <c r="U31" s="138"/>
      <c r="V31" s="138"/>
      <c r="W31" s="138"/>
      <c r="X31" s="157"/>
      <c r="Y31" s="127"/>
    </row>
    <row r="32" spans="1:25" x14ac:dyDescent="0.3">
      <c r="A32" s="156"/>
      <c r="B32" s="138"/>
      <c r="C32" s="138"/>
      <c r="D32" s="138"/>
      <c r="E32" s="138"/>
      <c r="F32" s="138"/>
      <c r="G32" s="138"/>
      <c r="H32" s="138"/>
      <c r="I32" s="138"/>
      <c r="J32" s="138"/>
      <c r="K32" s="138"/>
      <c r="L32" s="138"/>
      <c r="M32" s="138"/>
      <c r="N32" s="138"/>
      <c r="O32" s="138"/>
      <c r="P32" s="138"/>
      <c r="Q32" s="138"/>
      <c r="R32" s="138"/>
      <c r="S32" s="138"/>
      <c r="T32" s="138"/>
      <c r="U32" s="138"/>
      <c r="V32" s="138"/>
      <c r="W32" s="138"/>
      <c r="X32" s="157"/>
      <c r="Y32" s="127"/>
    </row>
    <row r="33" spans="1:25" x14ac:dyDescent="0.3">
      <c r="A33" s="156"/>
      <c r="B33" s="138"/>
      <c r="C33" s="138"/>
      <c r="D33" s="138"/>
      <c r="E33" s="138"/>
      <c r="F33" s="138"/>
      <c r="G33" s="138"/>
      <c r="H33" s="138"/>
      <c r="I33" s="138"/>
      <c r="J33" s="138"/>
      <c r="K33" s="138"/>
      <c r="L33" s="138"/>
      <c r="M33" s="138"/>
      <c r="N33" s="138"/>
      <c r="O33" s="138"/>
      <c r="P33" s="138"/>
      <c r="Q33" s="138"/>
      <c r="R33" s="138"/>
      <c r="S33" s="138"/>
      <c r="T33" s="138"/>
      <c r="U33" s="138"/>
      <c r="V33" s="138"/>
      <c r="W33" s="138"/>
      <c r="X33" s="157"/>
      <c r="Y33" s="127"/>
    </row>
    <row r="34" spans="1:25" x14ac:dyDescent="0.3">
      <c r="A34" s="156"/>
      <c r="B34" s="138"/>
      <c r="C34" s="138"/>
      <c r="D34" s="138"/>
      <c r="E34" s="138"/>
      <c r="F34" s="138"/>
      <c r="G34" s="138"/>
      <c r="H34" s="138"/>
      <c r="I34" s="138"/>
      <c r="J34" s="138"/>
      <c r="K34" s="138"/>
      <c r="L34" s="138"/>
      <c r="M34" s="138"/>
      <c r="N34" s="138"/>
      <c r="O34" s="138"/>
      <c r="P34" s="138"/>
      <c r="Q34" s="138"/>
      <c r="R34" s="138"/>
      <c r="S34" s="138"/>
      <c r="T34" s="138"/>
      <c r="U34" s="138"/>
      <c r="V34" s="138"/>
      <c r="W34" s="138"/>
      <c r="X34" s="157"/>
      <c r="Y34" s="127"/>
    </row>
    <row r="35" spans="1:25" x14ac:dyDescent="0.3">
      <c r="A35" s="156"/>
      <c r="B35" s="138"/>
      <c r="C35" s="138"/>
      <c r="D35" s="138"/>
      <c r="E35" s="138"/>
      <c r="F35" s="138"/>
      <c r="G35" s="138"/>
      <c r="H35" s="138"/>
      <c r="I35" s="138"/>
      <c r="J35" s="138"/>
      <c r="K35" s="138"/>
      <c r="L35" s="138"/>
      <c r="M35" s="138"/>
      <c r="N35" s="138"/>
      <c r="O35" s="138"/>
      <c r="P35" s="138"/>
      <c r="Q35" s="138"/>
      <c r="R35" s="138"/>
      <c r="S35" s="138"/>
      <c r="T35" s="138"/>
      <c r="U35" s="138"/>
      <c r="V35" s="138"/>
      <c r="W35" s="138"/>
      <c r="X35" s="157"/>
      <c r="Y35" s="127"/>
    </row>
    <row r="36" spans="1:25" x14ac:dyDescent="0.3">
      <c r="A36" s="156"/>
      <c r="B36" s="138"/>
      <c r="C36" s="138"/>
      <c r="D36" s="138"/>
      <c r="E36" s="138"/>
      <c r="F36" s="138"/>
      <c r="G36" s="138"/>
      <c r="H36" s="138"/>
      <c r="I36" s="138"/>
      <c r="J36" s="138"/>
      <c r="K36" s="138"/>
      <c r="L36" s="138"/>
      <c r="M36" s="138"/>
      <c r="N36" s="138"/>
      <c r="O36" s="138"/>
      <c r="P36" s="138"/>
      <c r="Q36" s="138"/>
      <c r="R36" s="138"/>
      <c r="S36" s="138"/>
      <c r="T36" s="138"/>
      <c r="U36" s="138"/>
      <c r="V36" s="138"/>
      <c r="W36" s="138"/>
      <c r="X36" s="157"/>
      <c r="Y36" s="127"/>
    </row>
    <row r="37" spans="1:25" x14ac:dyDescent="0.3">
      <c r="A37" s="156"/>
      <c r="B37" s="138"/>
      <c r="C37" s="138"/>
      <c r="D37" s="138"/>
      <c r="E37" s="138"/>
      <c r="F37" s="138"/>
      <c r="G37" s="138"/>
      <c r="H37" s="138"/>
      <c r="I37" s="138"/>
      <c r="J37" s="138"/>
      <c r="K37" s="138"/>
      <c r="L37" s="138"/>
      <c r="M37" s="138"/>
      <c r="N37" s="138"/>
      <c r="O37" s="138"/>
      <c r="P37" s="138"/>
      <c r="Q37" s="138"/>
      <c r="R37" s="138"/>
      <c r="S37" s="138"/>
      <c r="T37" s="138"/>
      <c r="U37" s="138"/>
      <c r="V37" s="138"/>
      <c r="W37" s="138"/>
      <c r="X37" s="157"/>
      <c r="Y37" s="127"/>
    </row>
    <row r="38" spans="1:25" x14ac:dyDescent="0.3">
      <c r="A38" s="156"/>
      <c r="B38" s="138"/>
      <c r="C38" s="138"/>
      <c r="D38" s="138"/>
      <c r="E38" s="138"/>
      <c r="F38" s="138"/>
      <c r="G38" s="138"/>
      <c r="H38" s="138"/>
      <c r="I38" s="138"/>
      <c r="J38" s="138"/>
      <c r="K38" s="138"/>
      <c r="L38" s="138"/>
      <c r="M38" s="138"/>
      <c r="N38" s="138"/>
      <c r="O38" s="138"/>
      <c r="P38" s="138"/>
      <c r="Q38" s="138"/>
      <c r="R38" s="138"/>
      <c r="S38" s="138"/>
      <c r="T38" s="138"/>
      <c r="U38" s="138"/>
      <c r="V38" s="138"/>
      <c r="W38" s="138"/>
      <c r="X38" s="157"/>
      <c r="Y38" s="127"/>
    </row>
    <row r="39" spans="1:25" x14ac:dyDescent="0.3">
      <c r="A39" s="156"/>
      <c r="B39" s="138"/>
      <c r="C39" s="138"/>
      <c r="D39" s="138"/>
      <c r="E39" s="138"/>
      <c r="F39" s="138"/>
      <c r="G39" s="138"/>
      <c r="H39" s="138"/>
      <c r="I39" s="138"/>
      <c r="J39" s="138"/>
      <c r="K39" s="138"/>
      <c r="L39" s="138"/>
      <c r="M39" s="138"/>
      <c r="N39" s="138"/>
      <c r="O39" s="138"/>
      <c r="P39" s="138"/>
      <c r="Q39" s="138"/>
      <c r="R39" s="138"/>
      <c r="S39" s="138"/>
      <c r="T39" s="138"/>
      <c r="U39" s="138"/>
      <c r="V39" s="138"/>
      <c r="W39" s="138"/>
      <c r="X39" s="157"/>
      <c r="Y39" s="127"/>
    </row>
    <row r="40" spans="1:25" ht="18" x14ac:dyDescent="0.3">
      <c r="A40" s="158"/>
      <c r="B40" s="139"/>
      <c r="C40" s="139"/>
      <c r="D40" s="139"/>
      <c r="E40" s="139"/>
      <c r="F40" s="140"/>
      <c r="G40" s="141"/>
      <c r="H40" s="140"/>
      <c r="I40" s="140"/>
      <c r="J40" s="140"/>
      <c r="K40" s="140"/>
      <c r="L40" s="140"/>
      <c r="M40" s="140"/>
      <c r="N40" s="140"/>
      <c r="O40" s="141"/>
      <c r="P40" s="140"/>
      <c r="Q40" s="140"/>
      <c r="R40" s="140"/>
      <c r="S40" s="140"/>
      <c r="T40" s="140"/>
      <c r="U40" s="140"/>
      <c r="V40" s="140"/>
      <c r="W40" s="138"/>
      <c r="X40" s="157"/>
      <c r="Y40" s="127"/>
    </row>
    <row r="41" spans="1:25" ht="18" x14ac:dyDescent="0.3">
      <c r="A41" s="158"/>
      <c r="B41" s="139"/>
      <c r="C41" s="139"/>
      <c r="D41" s="138"/>
      <c r="E41" s="138"/>
      <c r="F41" s="140"/>
      <c r="G41" s="141"/>
      <c r="H41" s="140"/>
      <c r="I41" s="140"/>
      <c r="J41" s="140"/>
      <c r="K41" s="140"/>
      <c r="L41" s="140"/>
      <c r="M41" s="140"/>
      <c r="N41" s="140"/>
      <c r="O41" s="141"/>
      <c r="P41" s="140"/>
      <c r="Q41" s="140"/>
      <c r="R41" s="140"/>
      <c r="S41" s="140"/>
      <c r="T41" s="140"/>
      <c r="U41" s="140"/>
      <c r="V41" s="140"/>
      <c r="W41" s="138"/>
      <c r="X41" s="157"/>
      <c r="Y41" s="127"/>
    </row>
    <row r="42" spans="1:25" ht="18" x14ac:dyDescent="0.3">
      <c r="A42" s="158"/>
      <c r="B42" s="139"/>
      <c r="C42" s="139"/>
      <c r="D42" s="138"/>
      <c r="E42" s="138"/>
      <c r="F42" s="140"/>
      <c r="G42" s="141"/>
      <c r="H42" s="140"/>
      <c r="I42" s="140"/>
      <c r="J42" s="140"/>
      <c r="K42" s="140"/>
      <c r="L42" s="140"/>
      <c r="M42" s="140"/>
      <c r="N42" s="140"/>
      <c r="O42" s="141"/>
      <c r="P42" s="140"/>
      <c r="Q42" s="140"/>
      <c r="R42" s="140"/>
      <c r="S42" s="140"/>
      <c r="T42" s="140"/>
      <c r="U42" s="140"/>
      <c r="V42" s="140"/>
      <c r="W42" s="138"/>
      <c r="X42" s="157"/>
      <c r="Y42" s="127"/>
    </row>
    <row r="43" spans="1:25" ht="18" x14ac:dyDescent="0.3">
      <c r="A43" s="158"/>
      <c r="B43" s="139"/>
      <c r="C43" s="139"/>
      <c r="D43" s="138"/>
      <c r="E43" s="138"/>
      <c r="F43" s="140"/>
      <c r="G43" s="141"/>
      <c r="H43" s="140"/>
      <c r="I43" s="140"/>
      <c r="J43" s="140"/>
      <c r="K43" s="140"/>
      <c r="L43" s="140"/>
      <c r="M43" s="140"/>
      <c r="N43" s="140"/>
      <c r="O43" s="141"/>
      <c r="P43" s="140"/>
      <c r="Q43" s="140"/>
      <c r="R43" s="140"/>
      <c r="S43" s="140"/>
      <c r="T43" s="140"/>
      <c r="U43" s="140"/>
      <c r="V43" s="140"/>
      <c r="W43" s="138"/>
      <c r="X43" s="157"/>
      <c r="Y43" s="127"/>
    </row>
    <row r="44" spans="1:25" ht="18" x14ac:dyDescent="0.3">
      <c r="A44" s="158"/>
      <c r="B44" s="139"/>
      <c r="C44" s="139"/>
      <c r="D44" s="138"/>
      <c r="E44" s="138"/>
      <c r="F44" s="140"/>
      <c r="G44" s="141"/>
      <c r="H44" s="140"/>
      <c r="I44" s="140"/>
      <c r="J44" s="140"/>
      <c r="K44" s="140"/>
      <c r="L44" s="140"/>
      <c r="M44" s="140"/>
      <c r="N44" s="140"/>
      <c r="O44" s="141"/>
      <c r="P44" s="140"/>
      <c r="Q44" s="140"/>
      <c r="R44" s="140"/>
      <c r="S44" s="140"/>
      <c r="T44" s="140"/>
      <c r="U44" s="140"/>
      <c r="V44" s="140"/>
      <c r="W44" s="138"/>
      <c r="X44" s="157"/>
      <c r="Y44" s="127"/>
    </row>
    <row r="45" spans="1:25" ht="18" x14ac:dyDescent="0.3">
      <c r="A45" s="158"/>
      <c r="B45" s="139"/>
      <c r="C45" s="139"/>
      <c r="D45" s="138"/>
      <c r="E45" s="138"/>
      <c r="F45" s="140"/>
      <c r="G45" s="141"/>
      <c r="H45" s="140"/>
      <c r="I45" s="140"/>
      <c r="J45" s="140"/>
      <c r="K45" s="140"/>
      <c r="L45" s="140"/>
      <c r="M45" s="140"/>
      <c r="N45" s="140"/>
      <c r="O45" s="141"/>
      <c r="P45" s="140"/>
      <c r="Q45" s="140"/>
      <c r="R45" s="140"/>
      <c r="S45" s="140"/>
      <c r="T45" s="140"/>
      <c r="U45" s="140"/>
      <c r="V45" s="140"/>
      <c r="W45" s="138"/>
      <c r="X45" s="157"/>
      <c r="Y45" s="127"/>
    </row>
    <row r="46" spans="1:25" ht="18" x14ac:dyDescent="0.3">
      <c r="A46" s="158"/>
      <c r="B46" s="139"/>
      <c r="C46" s="139"/>
      <c r="D46" s="138"/>
      <c r="E46" s="138"/>
      <c r="F46" s="140"/>
      <c r="G46" s="141"/>
      <c r="H46" s="140"/>
      <c r="I46" s="140"/>
      <c r="J46" s="140"/>
      <c r="K46" s="140"/>
      <c r="L46" s="140"/>
      <c r="M46" s="140"/>
      <c r="N46" s="140"/>
      <c r="O46" s="141"/>
      <c r="P46" s="140"/>
      <c r="Q46" s="140"/>
      <c r="R46" s="140"/>
      <c r="S46" s="140"/>
      <c r="T46" s="140"/>
      <c r="U46" s="140"/>
      <c r="V46" s="140"/>
      <c r="W46" s="138"/>
      <c r="X46" s="157"/>
      <c r="Y46" s="127"/>
    </row>
    <row r="47" spans="1:25" ht="18" x14ac:dyDescent="0.3">
      <c r="A47" s="158"/>
      <c r="B47" s="139"/>
      <c r="C47" s="139"/>
      <c r="D47" s="138"/>
      <c r="E47" s="138"/>
      <c r="F47" s="140"/>
      <c r="G47" s="141"/>
      <c r="H47" s="140"/>
      <c r="I47" s="140"/>
      <c r="J47" s="140"/>
      <c r="K47" s="140"/>
      <c r="L47" s="140"/>
      <c r="M47" s="140"/>
      <c r="N47" s="140"/>
      <c r="O47" s="141"/>
      <c r="P47" s="140"/>
      <c r="Q47" s="140"/>
      <c r="R47" s="140"/>
      <c r="S47" s="140"/>
      <c r="T47" s="140"/>
      <c r="U47" s="140"/>
      <c r="V47" s="140"/>
      <c r="W47" s="138"/>
      <c r="X47" s="157"/>
      <c r="Y47" s="127"/>
    </row>
    <row r="48" spans="1:25" ht="18" x14ac:dyDescent="0.3">
      <c r="A48" s="159"/>
      <c r="B48" s="160"/>
      <c r="C48" s="160"/>
      <c r="D48" s="161"/>
      <c r="E48" s="161"/>
      <c r="F48" s="162"/>
      <c r="G48" s="163"/>
      <c r="H48" s="162"/>
      <c r="I48" s="162"/>
      <c r="J48" s="162"/>
      <c r="K48" s="162"/>
      <c r="L48" s="162"/>
      <c r="M48" s="162"/>
      <c r="N48" s="162"/>
      <c r="O48" s="163"/>
      <c r="P48" s="162"/>
      <c r="Q48" s="162"/>
      <c r="R48" s="162"/>
      <c r="S48" s="162"/>
      <c r="T48" s="162"/>
      <c r="U48" s="162"/>
      <c r="V48" s="162"/>
      <c r="W48" s="161"/>
      <c r="X48" s="164"/>
      <c r="Y48" s="127"/>
    </row>
    <row r="49" spans="1:24" ht="18" x14ac:dyDescent="0.3">
      <c r="A49" s="149"/>
      <c r="B49" s="149"/>
      <c r="C49" s="149"/>
      <c r="D49" s="150"/>
      <c r="E49" s="150"/>
      <c r="F49" s="151"/>
      <c r="G49" s="152"/>
      <c r="H49" s="150"/>
      <c r="I49" s="149"/>
      <c r="J49" s="149"/>
      <c r="K49" s="149"/>
      <c r="L49" s="150"/>
      <c r="M49" s="150"/>
      <c r="N49" s="151"/>
      <c r="O49" s="152"/>
      <c r="P49" s="151"/>
      <c r="Q49" s="149"/>
      <c r="R49" s="149"/>
      <c r="S49" s="149"/>
      <c r="T49" s="150"/>
      <c r="U49" s="150"/>
      <c r="V49" s="150"/>
      <c r="W49" s="150"/>
      <c r="X49" s="150"/>
    </row>
    <row r="50" spans="1:24" ht="18" x14ac:dyDescent="0.3">
      <c r="A50" s="134"/>
      <c r="B50" s="134"/>
      <c r="C50" s="134"/>
      <c r="F50" s="135"/>
      <c r="G50" s="136"/>
      <c r="I50" s="134"/>
      <c r="J50" s="134"/>
      <c r="K50" s="134"/>
      <c r="N50" s="137"/>
      <c r="O50" s="136"/>
      <c r="P50" s="137"/>
      <c r="Q50" s="134"/>
      <c r="R50" s="134"/>
      <c r="S50" s="134"/>
    </row>
    <row r="51" spans="1:24" ht="18" x14ac:dyDescent="0.3">
      <c r="A51" s="134"/>
      <c r="B51" s="134"/>
      <c r="C51" s="134"/>
      <c r="F51" s="135"/>
      <c r="G51" s="136"/>
      <c r="I51" s="134"/>
      <c r="J51" s="134"/>
      <c r="K51" s="134"/>
      <c r="N51" s="137"/>
      <c r="O51" s="136"/>
      <c r="Q51" s="134"/>
      <c r="R51" s="134"/>
      <c r="S51" s="134"/>
    </row>
    <row r="52" spans="1:24" ht="18" x14ac:dyDescent="0.3">
      <c r="A52" s="134"/>
      <c r="B52" s="134"/>
      <c r="C52" s="134"/>
      <c r="F52" s="135"/>
      <c r="G52" s="136"/>
      <c r="I52" s="134"/>
      <c r="J52" s="134"/>
      <c r="K52" s="134"/>
      <c r="O52" s="136"/>
      <c r="Q52" s="134"/>
      <c r="R52" s="134"/>
      <c r="S52" s="134"/>
    </row>
    <row r="53" spans="1:24" ht="18" x14ac:dyDescent="0.3">
      <c r="A53" s="134"/>
      <c r="B53" s="134"/>
      <c r="C53" s="134"/>
      <c r="F53" s="135"/>
      <c r="G53" s="136"/>
      <c r="I53" s="134"/>
      <c r="J53" s="134"/>
      <c r="K53" s="134"/>
      <c r="O53" s="136"/>
      <c r="Q53" s="134"/>
      <c r="R53" s="134"/>
      <c r="S53" s="134"/>
    </row>
    <row r="54" spans="1:24" ht="18" x14ac:dyDescent="0.3">
      <c r="A54" s="134"/>
      <c r="B54" s="134"/>
      <c r="C54" s="134"/>
      <c r="G54" s="136"/>
      <c r="I54" s="134"/>
      <c r="J54" s="134"/>
      <c r="K54" s="134"/>
      <c r="O54" s="136"/>
      <c r="Q54" s="134"/>
      <c r="R54" s="134"/>
      <c r="S54" s="134"/>
    </row>
  </sheetData>
  <pageMargins left="0.7" right="0.7" top="0.75" bottom="0.75" header="0.3" footer="0.3"/>
  <pageSetup scale="55" fitToWidth="0" fitToHeight="0" orientation="landscape" horizontalDpi="1200" verticalDpi="120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488895-17FA-4469-BF56-1690D4C35048}">
  <dimension ref="A1:V28"/>
  <sheetViews>
    <sheetView workbookViewId="0">
      <selection activeCell="F25" sqref="F25"/>
    </sheetView>
  </sheetViews>
  <sheetFormatPr defaultColWidth="8.88671875" defaultRowHeight="14.4" x14ac:dyDescent="0.3"/>
  <cols>
    <col min="1" max="5" width="8.88671875" style="128"/>
    <col min="6" max="6" width="11.88671875" style="128" customWidth="1"/>
    <col min="7" max="8" width="8.88671875" style="128"/>
    <col min="9" max="9" width="14.6640625" style="128" bestFit="1" customWidth="1"/>
    <col min="10" max="16384" width="8.88671875" style="128"/>
  </cols>
  <sheetData>
    <row r="1" spans="1:22" x14ac:dyDescent="0.3">
      <c r="A1" s="128" t="s">
        <v>4</v>
      </c>
    </row>
    <row r="2" spans="1:22" x14ac:dyDescent="0.3">
      <c r="A2" s="128" t="s">
        <v>5</v>
      </c>
      <c r="J2" s="181" t="s">
        <v>5</v>
      </c>
      <c r="K2" s="138">
        <f>'BD+C credit category view'!M2</f>
        <v>0</v>
      </c>
    </row>
    <row r="3" spans="1:22" x14ac:dyDescent="0.3">
      <c r="A3" s="128" t="s">
        <v>6</v>
      </c>
      <c r="J3" s="181" t="s">
        <v>6</v>
      </c>
      <c r="K3" s="138">
        <f>'BD+C credit category view'!M3</f>
        <v>0</v>
      </c>
    </row>
    <row r="4" spans="1:22" ht="17.399999999999999" x14ac:dyDescent="0.3">
      <c r="A4" s="128" t="s">
        <v>7</v>
      </c>
      <c r="J4" s="181" t="s">
        <v>7</v>
      </c>
      <c r="K4" s="138">
        <f>'BD+C credit category view'!M4</f>
        <v>0</v>
      </c>
      <c r="Q4" s="328" t="s">
        <v>71</v>
      </c>
      <c r="R4" s="329"/>
      <c r="S4" s="329"/>
      <c r="T4" s="329"/>
      <c r="U4" s="329"/>
      <c r="V4" s="330"/>
    </row>
    <row r="5" spans="1:22" x14ac:dyDescent="0.3">
      <c r="J5" s="181" t="s">
        <v>8</v>
      </c>
      <c r="K5" s="138">
        <f>J19-K4-K3-K2</f>
        <v>110</v>
      </c>
      <c r="Q5" s="180" t="s">
        <v>5</v>
      </c>
      <c r="R5" s="180" t="s">
        <v>6</v>
      </c>
      <c r="S5" s="180" t="s">
        <v>7</v>
      </c>
      <c r="T5" s="182" t="s">
        <v>8</v>
      </c>
    </row>
    <row r="6" spans="1:22" x14ac:dyDescent="0.3">
      <c r="J6" s="220" t="s">
        <v>150</v>
      </c>
      <c r="Q6" s="182">
        <f>COUNTIF('BD+C impact area view '!A6:A34, "TRUE")</f>
        <v>0</v>
      </c>
      <c r="R6" s="182">
        <f>COUNTIF('BD+C impact area view '!B6:B34, "TRUE")</f>
        <v>0</v>
      </c>
      <c r="S6" s="182">
        <f>COUNTIF('BD+C impact area view '!C6:C34, "TRUE")</f>
        <v>0</v>
      </c>
      <c r="T6" s="182">
        <f>COUNTA('BD+C impact area view '!E6:E34)-Q6-R6-S6</f>
        <v>29</v>
      </c>
    </row>
    <row r="7" spans="1:22" x14ac:dyDescent="0.3">
      <c r="J7" s="221" t="s">
        <v>171</v>
      </c>
    </row>
    <row r="8" spans="1:22" x14ac:dyDescent="0.3">
      <c r="E8" s="139"/>
      <c r="H8" s="139"/>
      <c r="I8" s="138"/>
      <c r="J8" s="221" t="s">
        <v>171</v>
      </c>
      <c r="K8" s="138"/>
    </row>
    <row r="9" spans="1:22" ht="17.399999999999999" x14ac:dyDescent="0.3">
      <c r="E9" s="138"/>
      <c r="H9" s="139"/>
      <c r="Q9" s="334" t="s">
        <v>72</v>
      </c>
      <c r="R9" s="335"/>
      <c r="S9" s="335"/>
      <c r="T9" s="335"/>
      <c r="U9" s="335"/>
      <c r="V9" s="336"/>
    </row>
    <row r="10" spans="1:22" x14ac:dyDescent="0.3">
      <c r="A10" s="181"/>
      <c r="B10" s="181"/>
      <c r="C10" s="181"/>
      <c r="D10" s="181"/>
      <c r="E10" s="138"/>
      <c r="H10" s="138"/>
      <c r="Q10" s="180" t="s">
        <v>5</v>
      </c>
      <c r="R10" s="180" t="s">
        <v>6</v>
      </c>
      <c r="S10" s="180" t="s">
        <v>7</v>
      </c>
      <c r="T10" s="182" t="s">
        <v>8</v>
      </c>
    </row>
    <row r="11" spans="1:22" x14ac:dyDescent="0.3">
      <c r="E11" s="138"/>
      <c r="H11" s="138"/>
      <c r="Q11" s="182">
        <f>COUNTIF('BD+C impact area view '!I6:I26, "TRUE")</f>
        <v>0</v>
      </c>
      <c r="R11" s="182">
        <f>COUNTIF('BD+C impact area view '!J6:J26, "TRUE")</f>
        <v>0</v>
      </c>
      <c r="S11" s="182">
        <f>COUNTIF('BD+C impact area view '!K6:K26, "TRUE")</f>
        <v>0</v>
      </c>
      <c r="T11" s="182">
        <f>COUNTA('BD+C impact area view '!M6:M26)-Q11-R11-S11</f>
        <v>21</v>
      </c>
    </row>
    <row r="12" spans="1:22" x14ac:dyDescent="0.3">
      <c r="E12" s="138"/>
      <c r="F12" s="138"/>
      <c r="G12" s="138"/>
      <c r="H12" s="138"/>
    </row>
    <row r="13" spans="1:22" ht="17.399999999999999" x14ac:dyDescent="0.3">
      <c r="E13" s="138"/>
      <c r="F13" s="138"/>
      <c r="G13" s="138"/>
      <c r="H13" s="138"/>
      <c r="I13" s="138"/>
      <c r="J13" s="138"/>
      <c r="K13" s="138"/>
      <c r="Q13" s="334" t="s">
        <v>73</v>
      </c>
      <c r="R13" s="335"/>
      <c r="S13" s="335"/>
      <c r="T13" s="335"/>
      <c r="U13" s="335"/>
      <c r="V13" s="336"/>
    </row>
    <row r="14" spans="1:22" x14ac:dyDescent="0.3">
      <c r="E14" s="138"/>
      <c r="F14" s="138"/>
      <c r="G14" s="138"/>
      <c r="H14" s="138"/>
      <c r="I14" s="138"/>
      <c r="J14" s="138"/>
      <c r="K14" s="138"/>
      <c r="Q14" s="180" t="s">
        <v>5</v>
      </c>
      <c r="R14" s="180" t="s">
        <v>6</v>
      </c>
      <c r="S14" s="180" t="s">
        <v>7</v>
      </c>
      <c r="T14" s="182" t="s">
        <v>8</v>
      </c>
    </row>
    <row r="15" spans="1:22" ht="14.4" customHeight="1" x14ac:dyDescent="0.3">
      <c r="A15" s="138"/>
      <c r="B15" s="138"/>
      <c r="C15" s="138"/>
      <c r="D15" s="138"/>
      <c r="E15" s="332" t="s">
        <v>12</v>
      </c>
      <c r="F15" s="331" t="s">
        <v>161</v>
      </c>
      <c r="G15" s="138"/>
      <c r="H15" s="138"/>
      <c r="I15" s="223"/>
      <c r="J15" s="223"/>
      <c r="K15" s="223"/>
      <c r="Q15" s="182">
        <f>COUNTIF('BD+C impact area view '!Q6:Q26,"TRUE")</f>
        <v>0</v>
      </c>
      <c r="R15" s="182">
        <f>COUNTIF('BD+C impact area view '!R6:R26,"TRUE")</f>
        <v>0</v>
      </c>
      <c r="S15" s="182">
        <f>COUNTIF('BD+C impact area view '!S6:S26,"TRUE")</f>
        <v>0</v>
      </c>
      <c r="T15" s="182">
        <f>COUNTA('BD+C impact area view '!U6:U26)-Q15-R15-S15</f>
        <v>21</v>
      </c>
    </row>
    <row r="16" spans="1:22" x14ac:dyDescent="0.3">
      <c r="A16" s="138"/>
      <c r="B16" s="138"/>
      <c r="C16" s="138"/>
      <c r="D16" s="138"/>
      <c r="E16" s="332"/>
      <c r="F16" s="331"/>
      <c r="G16" s="138"/>
      <c r="H16" s="222"/>
      <c r="I16" s="224" t="s">
        <v>161</v>
      </c>
      <c r="J16" s="225">
        <f>'BD+C credit category view'!M6</f>
        <v>0</v>
      </c>
      <c r="K16" s="224" t="s">
        <v>9</v>
      </c>
      <c r="L16" s="127"/>
      <c r="Q16" s="220" t="s">
        <v>150</v>
      </c>
    </row>
    <row r="17" spans="1:17" x14ac:dyDescent="0.3">
      <c r="A17" s="138"/>
      <c r="B17" s="138"/>
      <c r="C17" s="138"/>
      <c r="D17" s="138"/>
      <c r="E17" s="332"/>
      <c r="F17" s="331"/>
      <c r="G17" s="138"/>
      <c r="H17" s="222"/>
      <c r="I17" s="224" t="s">
        <v>10</v>
      </c>
      <c r="J17" s="226">
        <v>40</v>
      </c>
      <c r="K17" s="224" t="s">
        <v>9</v>
      </c>
      <c r="L17" s="127"/>
      <c r="Q17" s="221" t="s">
        <v>168</v>
      </c>
    </row>
    <row r="18" spans="1:17" x14ac:dyDescent="0.3">
      <c r="A18" s="333" t="s">
        <v>13</v>
      </c>
      <c r="B18" s="333"/>
      <c r="C18" s="333"/>
      <c r="D18" s="333"/>
      <c r="E18" s="138">
        <f>'BD+C credit category view'!I9</f>
        <v>7</v>
      </c>
      <c r="F18" s="138">
        <f>'BD+C credit category view'!J9</f>
        <v>0</v>
      </c>
      <c r="G18" s="138"/>
      <c r="H18" s="222"/>
      <c r="I18" s="224" t="s">
        <v>11</v>
      </c>
      <c r="J18" s="226">
        <v>80</v>
      </c>
      <c r="K18" s="224" t="s">
        <v>9</v>
      </c>
      <c r="L18" s="127"/>
      <c r="Q18" s="221" t="s">
        <v>169</v>
      </c>
    </row>
    <row r="19" spans="1:17" x14ac:dyDescent="0.3">
      <c r="A19" s="333" t="s">
        <v>14</v>
      </c>
      <c r="B19" s="333"/>
      <c r="C19" s="333"/>
      <c r="D19" s="333"/>
      <c r="E19" s="138">
        <f>'BD+C credit category view'!I17</f>
        <v>15</v>
      </c>
      <c r="F19" s="138">
        <f>'BD+C credit category view'!J17</f>
        <v>0</v>
      </c>
      <c r="G19" s="138"/>
      <c r="H19" s="222"/>
      <c r="I19" s="224" t="s">
        <v>12</v>
      </c>
      <c r="J19" s="225">
        <f>'BD+C credit category view'!M7</f>
        <v>110</v>
      </c>
      <c r="K19" s="224" t="s">
        <v>9</v>
      </c>
      <c r="L19" s="127"/>
      <c r="Q19" s="221" t="s">
        <v>170</v>
      </c>
    </row>
    <row r="20" spans="1:17" x14ac:dyDescent="0.3">
      <c r="A20" s="187" t="s">
        <v>15</v>
      </c>
      <c r="B20" s="187"/>
      <c r="C20" s="187"/>
      <c r="D20" s="187"/>
      <c r="E20" s="138">
        <f>'BD+C credit category view'!I24</f>
        <v>11</v>
      </c>
      <c r="F20" s="138">
        <f>'BD+C credit category view'!J24</f>
        <v>0</v>
      </c>
      <c r="G20" s="138"/>
      <c r="H20" s="138"/>
      <c r="I20" s="220" t="s">
        <v>150</v>
      </c>
      <c r="J20" s="150"/>
      <c r="K20" s="150"/>
    </row>
    <row r="21" spans="1:17" x14ac:dyDescent="0.3">
      <c r="A21" s="187" t="s">
        <v>16</v>
      </c>
      <c r="B21" s="187"/>
      <c r="C21" s="187"/>
      <c r="D21" s="187"/>
      <c r="E21" s="138">
        <f>'BD+C credit category view'!I33</f>
        <v>8</v>
      </c>
      <c r="F21" s="138">
        <f>'BD+C credit category view'!J33</f>
        <v>0</v>
      </c>
      <c r="G21" s="138"/>
      <c r="H21" s="138"/>
      <c r="I21" s="221" t="s">
        <v>172</v>
      </c>
      <c r="J21" s="138"/>
      <c r="K21" s="138"/>
    </row>
    <row r="22" spans="1:17" x14ac:dyDescent="0.3">
      <c r="A22" s="187" t="s">
        <v>17</v>
      </c>
      <c r="B22" s="187"/>
      <c r="C22" s="187"/>
      <c r="D22" s="187"/>
      <c r="E22" s="138">
        <f>'BD+C credit category view'!I39</f>
        <v>27</v>
      </c>
      <c r="F22" s="138">
        <f>'BD+C credit category view'!J39</f>
        <v>0</v>
      </c>
      <c r="G22" s="138"/>
      <c r="H22" s="138"/>
      <c r="I22" s="138"/>
      <c r="J22" s="138"/>
      <c r="K22" s="138"/>
    </row>
    <row r="23" spans="1:17" x14ac:dyDescent="0.3">
      <c r="A23" s="187" t="s">
        <v>18</v>
      </c>
      <c r="B23" s="187"/>
      <c r="C23" s="187"/>
      <c r="D23" s="187"/>
      <c r="E23" s="138">
        <f>'BD+C credit category view'!I53</f>
        <v>21</v>
      </c>
      <c r="F23" s="138">
        <f>'BD+C credit category view'!J53</f>
        <v>0</v>
      </c>
      <c r="G23" s="138"/>
      <c r="H23" s="138"/>
      <c r="I23" s="138"/>
      <c r="J23" s="138"/>
      <c r="K23" s="138"/>
    </row>
    <row r="24" spans="1:17" x14ac:dyDescent="0.3">
      <c r="A24" s="187" t="s">
        <v>19</v>
      </c>
      <c r="B24" s="187"/>
      <c r="C24" s="187"/>
      <c r="D24" s="187"/>
      <c r="E24" s="138">
        <f>'BD+C credit category view'!I62</f>
        <v>11</v>
      </c>
      <c r="F24" s="138">
        <f>'BD+C credit category view'!J62</f>
        <v>0</v>
      </c>
      <c r="G24" s="138"/>
      <c r="H24" s="138"/>
      <c r="I24" s="138"/>
      <c r="J24" s="138"/>
      <c r="K24" s="138"/>
    </row>
    <row r="25" spans="1:17" x14ac:dyDescent="0.3">
      <c r="A25" s="188" t="s">
        <v>20</v>
      </c>
      <c r="B25" s="188"/>
      <c r="C25" s="188"/>
      <c r="D25" s="188"/>
      <c r="E25" s="138">
        <f>'BD+C credit category view'!I71</f>
        <v>10</v>
      </c>
      <c r="F25" s="138">
        <f>'BD+C credit category view'!J71</f>
        <v>0</v>
      </c>
      <c r="G25" s="138"/>
      <c r="H25" s="138"/>
      <c r="I25" s="138"/>
      <c r="J25" s="138"/>
      <c r="K25" s="138"/>
    </row>
    <row r="26" spans="1:17" x14ac:dyDescent="0.3">
      <c r="A26" s="220" t="s">
        <v>150</v>
      </c>
      <c r="B26" s="138"/>
      <c r="C26" s="138"/>
      <c r="D26" s="138"/>
      <c r="E26" s="138"/>
      <c r="F26" s="138"/>
      <c r="G26" s="138"/>
      <c r="H26" s="138"/>
      <c r="I26" s="138"/>
      <c r="J26" s="138"/>
      <c r="K26" s="138"/>
    </row>
    <row r="27" spans="1:17" x14ac:dyDescent="0.3">
      <c r="A27" s="221" t="s">
        <v>151</v>
      </c>
    </row>
    <row r="28" spans="1:17" x14ac:dyDescent="0.3">
      <c r="A28" s="221" t="s">
        <v>173</v>
      </c>
    </row>
  </sheetData>
  <sheetProtection algorithmName="SHA-512" hashValue="GMV5/+d1GWSl8dgTyPuG9QwZLR1q+a2/fPUpaV9ptcl5vRq9mofSPGdY6eAmzn8c0au9vjRjOyrgZ2zeoaI3Ng==" saltValue="jrQuPwdBEv7mewJjcVGLKg==" spinCount="100000" sheet="1" objects="1" scenarios="1"/>
  <mergeCells count="7">
    <mergeCell ref="F15:F17"/>
    <mergeCell ref="E15:E17"/>
    <mergeCell ref="A18:D18"/>
    <mergeCell ref="A19:D19"/>
    <mergeCell ref="Q4:V4"/>
    <mergeCell ref="Q9:V9"/>
    <mergeCell ref="Q13:V13"/>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2ABFE0B532E11044AEF3AC62CA104DD5" ma:contentTypeVersion="16" ma:contentTypeDescription="Create a new document." ma:contentTypeScope="" ma:versionID="4b44586c7037f7d75b12ff2fe0b51f3a">
  <xsd:schema xmlns:xsd="http://www.w3.org/2001/XMLSchema" xmlns:xs="http://www.w3.org/2001/XMLSchema" xmlns:p="http://schemas.microsoft.com/office/2006/metadata/properties" xmlns:ns2="7f6fc0cd-3f1b-4e34-a182-84100c4914e4" xmlns:ns3="2c7a8f07-2686-4e4f-ae0a-afdb6b833810" targetNamespace="http://schemas.microsoft.com/office/2006/metadata/properties" ma:root="true" ma:fieldsID="5e63ac79f96868fea050ca5002f21d1f" ns2:_="" ns3:_="">
    <xsd:import namespace="7f6fc0cd-3f1b-4e34-a182-84100c4914e4"/>
    <xsd:import namespace="2c7a8f07-2686-4e4f-ae0a-afdb6b833810"/>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3:SharedWithUsers" minOccurs="0"/>
                <xsd:element ref="ns3:SharedWithDetails" minOccurs="0"/>
                <xsd:element ref="ns2:MediaServiceSearchPropertie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f6fc0cd-3f1b-4e34-a182-84100c4914e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971b379c-1df0-4d09-9e1f-75e90cd1f60b"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Location" ma:index="22" nillable="true" ma:displayName="Loca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c7a8f07-2686-4e4f-ae0a-afdb6b83381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6c1e3f64-84f5-4247-b2f0-ca28f4b54d8c}" ma:internalName="TaxCatchAll" ma:showField="CatchAllData" ma:web="2c7a8f07-2686-4e4f-ae0a-afdb6b833810">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2c7a8f07-2686-4e4f-ae0a-afdb6b833810" xsi:nil="true"/>
    <lcf76f155ced4ddcb4097134ff3c332f xmlns="7f6fc0cd-3f1b-4e34-a182-84100c4914e4">
      <Terms xmlns="http://schemas.microsoft.com/office/infopath/2007/PartnerControls"/>
    </lcf76f155ced4ddcb4097134ff3c332f>
    <SharedWithUsers xmlns="2c7a8f07-2686-4e4f-ae0a-afdb6b833810">
      <UserInfo>
        <DisplayName/>
        <AccountId xsi:nil="true"/>
        <AccountType/>
      </UserInfo>
    </SharedWithUsers>
  </documentManagement>
</p:properties>
</file>

<file path=customXml/itemProps1.xml><?xml version="1.0" encoding="utf-8"?>
<ds:datastoreItem xmlns:ds="http://schemas.openxmlformats.org/officeDocument/2006/customXml" ds:itemID="{3BD9EF5B-C834-4965-BA98-FF1968DEE991}">
  <ds:schemaRefs>
    <ds:schemaRef ds:uri="http://schemas.microsoft.com/sharepoint/v3/contenttype/forms"/>
  </ds:schemaRefs>
</ds:datastoreItem>
</file>

<file path=customXml/itemProps2.xml><?xml version="1.0" encoding="utf-8"?>
<ds:datastoreItem xmlns:ds="http://schemas.openxmlformats.org/officeDocument/2006/customXml" ds:itemID="{07702EEA-599A-48F2-83D0-0ED07B4069BB}"/>
</file>

<file path=customXml/itemProps3.xml><?xml version="1.0" encoding="utf-8"?>
<ds:datastoreItem xmlns:ds="http://schemas.openxmlformats.org/officeDocument/2006/customXml" ds:itemID="{3F170694-86A8-407E-8513-E6EFCE8C6EFA}">
  <ds:schemaRefs>
    <ds:schemaRef ds:uri="http://purl.org/dc/elements/1.1/"/>
    <ds:schemaRef ds:uri="http://purl.org/dc/terms/"/>
    <ds:schemaRef ds:uri="http://purl.org/dc/dcmitype/"/>
    <ds:schemaRef ds:uri="http://schemas.microsoft.com/office/infopath/2007/PartnerControls"/>
    <ds:schemaRef ds:uri="http://schemas.microsoft.com/office/2006/documentManagement/types"/>
    <ds:schemaRef ds:uri="http://schemas.openxmlformats.org/package/2006/metadata/core-properties"/>
    <ds:schemaRef ds:uri="ff5b7889-32f6-4f7a-ad46-d91d7f417e7c"/>
    <ds:schemaRef ds:uri="5ff4af7e-cfd7-415a-baed-ead09a9487b3"/>
    <ds:schemaRef ds:uri="http://schemas.microsoft.com/office/2006/metadata/properties"/>
    <ds:schemaRef ds:uri="http://www.w3.org/XML/1998/namespace"/>
  </ds:schemaRefs>
</ds:datastoreItem>
</file>

<file path=docMetadata/LabelInfo.xml><?xml version="1.0" encoding="utf-8"?>
<clbl:labelList xmlns:clbl="http://schemas.microsoft.com/office/2020/mipLabelMetadata">
  <clbl:label id="{6473bd35-a793-4476-b755-d10c6831b239}" enabled="0" method="" siteId="{6473bd35-a793-4476-b755-d10c6831b239}"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3</vt:i4>
      </vt:variant>
    </vt:vector>
  </HeadingPairs>
  <TitlesOfParts>
    <vt:vector size="8" baseType="lpstr">
      <vt:lpstr>Cover</vt:lpstr>
      <vt:lpstr>BD+C credit category view</vt:lpstr>
      <vt:lpstr>BD+C impact area view </vt:lpstr>
      <vt:lpstr>Analytics</vt:lpstr>
      <vt:lpstr>Background</vt:lpstr>
      <vt:lpstr>Analytics!Print_Area</vt:lpstr>
      <vt:lpstr>'BD+C credit category view'!Print_Area</vt:lpstr>
      <vt:lpstr>'BD+C impact area view '!Print_Area</vt:lpstr>
    </vt:vector>
  </TitlesOfParts>
  <Manager/>
  <Company>US Green Building Council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Chrissy Ungaro</dc:creator>
  <cp:keywords/>
  <dc:description/>
  <cp:lastModifiedBy>Jeanne Friedlander</cp:lastModifiedBy>
  <cp:revision/>
  <cp:lastPrinted>2025-10-29T19:55:44Z</cp:lastPrinted>
  <dcterms:created xsi:type="dcterms:W3CDTF">2010-11-08T04:39:43Z</dcterms:created>
  <dcterms:modified xsi:type="dcterms:W3CDTF">2025-10-29T19:55:50Z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0x0101002ABFE0B532E11044AEF3AC62CA104DD5</vt:lpwstr>
  </property>
  <property fmtid="{D5CDD505-2E9C-101B-9397-08002B2CF9AE}" pid="3" name="MediaServiceImageTags">
    <vt:lpwstr/>
  </property>
</Properties>
</file>