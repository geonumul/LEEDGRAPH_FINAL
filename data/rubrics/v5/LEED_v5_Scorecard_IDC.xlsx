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https://usgbc-my.sharepoint.com/personal/jfriedlander_usgbc_org/Documents/LEED/"/>
    </mc:Choice>
  </mc:AlternateContent>
  <xr:revisionPtr revIDLastSave="1590" documentId="8_{596FB319-398E-4AFD-8FF2-92CAC5F6E361}" xr6:coauthVersionLast="47" xr6:coauthVersionMax="47" xr10:uidLastSave="{E7957CB0-C3C6-4583-91FE-087CA5A85287}"/>
  <bookViews>
    <workbookView xWindow="-28920" yWindow="2895" windowWidth="29040" windowHeight="15720" xr2:uid="{B3AFEC35-999C-4E5F-9094-7AA339C7606B}"/>
  </bookViews>
  <sheets>
    <sheet name="Cover" sheetId="26" r:id="rId1"/>
    <sheet name="ID+C credit category view" sheetId="21" r:id="rId2"/>
    <sheet name="ID+C impact area view " sheetId="23" r:id="rId3"/>
    <sheet name="Analytics" sheetId="27" r:id="rId4"/>
    <sheet name="Background" sheetId="24" state="hidden" r:id="rId5"/>
  </sheets>
  <definedNames>
    <definedName name="_xlnm.Print_Area" localSheetId="3">Analytics!$A$1:$X$48</definedName>
    <definedName name="_xlnm.Print_Area" localSheetId="1">'ID+C credit category view'!$A$1:$R$70</definedName>
    <definedName name="_xlnm.Print_Area" localSheetId="2">'ID+C impact area view '!$A$1:$AD$29</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21" l="1"/>
  <c r="B70" i="21"/>
  <c r="J60" i="21" l="1"/>
  <c r="J61" i="21"/>
  <c r="J62" i="21"/>
  <c r="J63" i="21"/>
  <c r="J64" i="21"/>
  <c r="J65" i="21"/>
  <c r="J66" i="21"/>
  <c r="J67" i="21"/>
  <c r="J59" i="21"/>
  <c r="J55" i="21"/>
  <c r="I70" i="21"/>
  <c r="A24" i="24"/>
  <c r="A23" i="24"/>
  <c r="A22" i="24"/>
  <c r="A21" i="24"/>
  <c r="A20" i="24"/>
  <c r="A19" i="24"/>
  <c r="A18" i="24"/>
  <c r="B30" i="23"/>
  <c r="C30" i="23"/>
  <c r="A30" i="23"/>
  <c r="A29" i="23"/>
  <c r="B29" i="23"/>
  <c r="C29" i="23"/>
  <c r="B6" i="23"/>
  <c r="C6" i="23"/>
  <c r="A6" i="23"/>
  <c r="V7" i="23"/>
  <c r="V6" i="23"/>
  <c r="R13" i="23"/>
  <c r="S13" i="23"/>
  <c r="R14" i="23"/>
  <c r="S14" i="23"/>
  <c r="Q14" i="23"/>
  <c r="Q13" i="23"/>
  <c r="R12" i="23"/>
  <c r="S12" i="23"/>
  <c r="Q12" i="23"/>
  <c r="R9" i="23"/>
  <c r="S9" i="23"/>
  <c r="R10" i="23"/>
  <c r="S10" i="23"/>
  <c r="Q10" i="23"/>
  <c r="Q9" i="23"/>
  <c r="R7" i="23"/>
  <c r="S7" i="23"/>
  <c r="Q7" i="23"/>
  <c r="R6" i="23"/>
  <c r="S6" i="23"/>
  <c r="R15" i="23"/>
  <c r="S15" i="23"/>
  <c r="Q15" i="23"/>
  <c r="R11" i="23"/>
  <c r="S11" i="23"/>
  <c r="Q11" i="23"/>
  <c r="R8" i="23"/>
  <c r="S8" i="23"/>
  <c r="Q8" i="23"/>
  <c r="U6" i="23"/>
  <c r="U7" i="23"/>
  <c r="U8" i="23"/>
  <c r="U9" i="23"/>
  <c r="U10" i="23"/>
  <c r="U11" i="23"/>
  <c r="U12" i="23"/>
  <c r="U13" i="23"/>
  <c r="U14" i="23"/>
  <c r="U15" i="23"/>
  <c r="V15" i="23"/>
  <c r="V14" i="23"/>
  <c r="V13" i="23"/>
  <c r="V12" i="23"/>
  <c r="V11" i="23"/>
  <c r="V9" i="23"/>
  <c r="V10" i="23"/>
  <c r="V8" i="23"/>
  <c r="J17" i="23"/>
  <c r="K17" i="23"/>
  <c r="J18" i="23"/>
  <c r="K18" i="23"/>
  <c r="J19" i="23"/>
  <c r="K19" i="23"/>
  <c r="J20" i="23"/>
  <c r="K20" i="23"/>
  <c r="J21" i="23"/>
  <c r="K21" i="23"/>
  <c r="I18" i="23"/>
  <c r="I19" i="23"/>
  <c r="I20" i="23"/>
  <c r="I21" i="23"/>
  <c r="I17" i="23"/>
  <c r="J12" i="23"/>
  <c r="K12" i="23"/>
  <c r="J13" i="23"/>
  <c r="K13" i="23"/>
  <c r="I13" i="23"/>
  <c r="I12" i="23"/>
  <c r="J11" i="23"/>
  <c r="K11" i="23"/>
  <c r="I11" i="23"/>
  <c r="I10" i="23"/>
  <c r="J10" i="23"/>
  <c r="K10" i="23"/>
  <c r="J9" i="23"/>
  <c r="K9" i="23"/>
  <c r="I9" i="23"/>
  <c r="J8" i="23"/>
  <c r="K8" i="23"/>
  <c r="J14" i="23"/>
  <c r="K14" i="23"/>
  <c r="J15" i="23"/>
  <c r="K15" i="23"/>
  <c r="J16" i="23"/>
  <c r="K16" i="23"/>
  <c r="I15" i="23"/>
  <c r="I16" i="23"/>
  <c r="I14" i="23"/>
  <c r="J6" i="23"/>
  <c r="K6" i="23"/>
  <c r="J7" i="23"/>
  <c r="K7" i="23"/>
  <c r="I7" i="23"/>
  <c r="I6" i="23"/>
  <c r="M6" i="23"/>
  <c r="M7" i="23"/>
  <c r="M8" i="23"/>
  <c r="M9" i="23"/>
  <c r="M10" i="23"/>
  <c r="M11" i="23"/>
  <c r="M12" i="23"/>
  <c r="M13" i="23"/>
  <c r="M14" i="23"/>
  <c r="M15" i="23"/>
  <c r="M16" i="23"/>
  <c r="M17" i="23"/>
  <c r="M18" i="23"/>
  <c r="M19" i="23"/>
  <c r="M20" i="23"/>
  <c r="M21" i="23"/>
  <c r="N21" i="23"/>
  <c r="N20" i="23"/>
  <c r="N19" i="23"/>
  <c r="N18" i="23"/>
  <c r="N17" i="23"/>
  <c r="N16" i="23"/>
  <c r="N15" i="23"/>
  <c r="N14" i="23"/>
  <c r="N13" i="23"/>
  <c r="N12" i="23"/>
  <c r="N11" i="23"/>
  <c r="N10" i="23"/>
  <c r="N9" i="23"/>
  <c r="N8" i="23"/>
  <c r="N7" i="23"/>
  <c r="N6" i="23"/>
  <c r="F19" i="23"/>
  <c r="J58" i="21" l="1"/>
  <c r="S12" i="24"/>
  <c r="R12" i="24"/>
  <c r="S9" i="24"/>
  <c r="R9" i="24"/>
  <c r="B27" i="23" l="1"/>
  <c r="C27" i="23"/>
  <c r="B28" i="23"/>
  <c r="C28" i="23"/>
  <c r="E30" i="23"/>
  <c r="F30" i="23"/>
  <c r="A28" i="23"/>
  <c r="A27" i="23"/>
  <c r="A26" i="23"/>
  <c r="B26" i="23"/>
  <c r="C26" i="23"/>
  <c r="B25" i="23"/>
  <c r="C25" i="23"/>
  <c r="A25" i="23"/>
  <c r="E25" i="23"/>
  <c r="E26" i="23"/>
  <c r="E27" i="23"/>
  <c r="E28" i="23"/>
  <c r="E29" i="23"/>
  <c r="F26" i="23"/>
  <c r="F27" i="23"/>
  <c r="F28" i="23"/>
  <c r="F29" i="23"/>
  <c r="F25" i="23"/>
  <c r="B19" i="23" l="1"/>
  <c r="C19" i="23"/>
  <c r="B20" i="23"/>
  <c r="C20" i="23"/>
  <c r="B21" i="23"/>
  <c r="C21" i="23"/>
  <c r="B22" i="23"/>
  <c r="C22" i="23"/>
  <c r="B23" i="23"/>
  <c r="C23" i="23"/>
  <c r="B24" i="23"/>
  <c r="C24" i="23"/>
  <c r="A20" i="23"/>
  <c r="A21" i="23"/>
  <c r="A22" i="23"/>
  <c r="A23" i="23"/>
  <c r="A24" i="23"/>
  <c r="A19" i="23"/>
  <c r="A15" i="23"/>
  <c r="B15" i="23"/>
  <c r="C15" i="23"/>
  <c r="A16" i="23"/>
  <c r="B16" i="23"/>
  <c r="C16" i="23"/>
  <c r="A17" i="23"/>
  <c r="B17" i="23"/>
  <c r="C17" i="23"/>
  <c r="A18" i="23"/>
  <c r="B18" i="23"/>
  <c r="C18" i="23"/>
  <c r="B14" i="23"/>
  <c r="C14" i="23"/>
  <c r="A14" i="23"/>
  <c r="E14" i="23"/>
  <c r="E15" i="23"/>
  <c r="E16" i="23"/>
  <c r="E17" i="23"/>
  <c r="E18" i="23"/>
  <c r="E19" i="23"/>
  <c r="E20" i="23"/>
  <c r="E21" i="23"/>
  <c r="E22" i="23"/>
  <c r="E23" i="23"/>
  <c r="E24" i="23"/>
  <c r="F15" i="23"/>
  <c r="F16" i="23"/>
  <c r="F17" i="23"/>
  <c r="F18" i="23"/>
  <c r="F20" i="23"/>
  <c r="F21" i="23"/>
  <c r="F22" i="23"/>
  <c r="F23" i="23"/>
  <c r="F24" i="23"/>
  <c r="F14" i="23"/>
  <c r="B12" i="23"/>
  <c r="C12" i="23"/>
  <c r="B13" i="23"/>
  <c r="C13" i="23"/>
  <c r="A13" i="23"/>
  <c r="A12" i="23"/>
  <c r="B8" i="23"/>
  <c r="C8" i="23"/>
  <c r="B9" i="23"/>
  <c r="C9" i="23"/>
  <c r="B10" i="23"/>
  <c r="C10" i="23"/>
  <c r="A9" i="23"/>
  <c r="A10" i="23"/>
  <c r="A8" i="23"/>
  <c r="B7" i="23"/>
  <c r="C7" i="23"/>
  <c r="B11" i="23"/>
  <c r="C11" i="23"/>
  <c r="A11" i="23"/>
  <c r="E11" i="23"/>
  <c r="E12" i="23"/>
  <c r="E13" i="23"/>
  <c r="F12" i="23"/>
  <c r="F13" i="23"/>
  <c r="F11" i="23"/>
  <c r="S6" i="24" l="1"/>
  <c r="R6" i="24"/>
  <c r="E8" i="23"/>
  <c r="E9" i="23"/>
  <c r="E10" i="23"/>
  <c r="F9" i="23"/>
  <c r="F10" i="23"/>
  <c r="F8" i="23"/>
  <c r="F7" i="23"/>
  <c r="F6" i="23"/>
  <c r="E7" i="23"/>
  <c r="E6" i="23"/>
  <c r="J43" i="21"/>
  <c r="K43" i="21" s="1"/>
  <c r="O12" i="23" s="1"/>
  <c r="M3" i="21"/>
  <c r="M4" i="21"/>
  <c r="I57" i="21"/>
  <c r="E24" i="24" s="1"/>
  <c r="K58" i="21"/>
  <c r="J42" i="21"/>
  <c r="K42" i="21" s="1"/>
  <c r="G28" i="23" s="1"/>
  <c r="J44" i="21"/>
  <c r="K44" i="21" s="1"/>
  <c r="J45" i="21"/>
  <c r="K45" i="21" s="1"/>
  <c r="J41" i="21"/>
  <c r="I25" i="21"/>
  <c r="J22" i="21"/>
  <c r="J23" i="21"/>
  <c r="I20" i="21"/>
  <c r="I9" i="21"/>
  <c r="I15" i="21"/>
  <c r="I38" i="21"/>
  <c r="I47" i="21"/>
  <c r="W14" i="23" l="1"/>
  <c r="G30" i="23"/>
  <c r="O13" i="23"/>
  <c r="G29" i="23"/>
  <c r="W13" i="23"/>
  <c r="J38" i="21"/>
  <c r="K41" i="21"/>
  <c r="J20" i="21"/>
  <c r="W12" i="23" l="1"/>
  <c r="G27" i="23"/>
  <c r="J3" i="24"/>
  <c r="J68" i="21"/>
  <c r="J57" i="21" s="1"/>
  <c r="F24" i="24" s="1"/>
  <c r="J51" i="21"/>
  <c r="J52" i="21"/>
  <c r="J53" i="21"/>
  <c r="J54" i="21"/>
  <c r="J31" i="21"/>
  <c r="J32" i="21"/>
  <c r="J33" i="21"/>
  <c r="J34" i="21"/>
  <c r="J35" i="21"/>
  <c r="J36" i="21"/>
  <c r="J17" i="21"/>
  <c r="J18" i="21"/>
  <c r="J16" i="21"/>
  <c r="J47" i="21" l="1"/>
  <c r="J25" i="21"/>
  <c r="K68" i="21"/>
  <c r="K55" i="21"/>
  <c r="O21" i="23" s="1"/>
  <c r="K54" i="21"/>
  <c r="O20" i="23" s="1"/>
  <c r="K53" i="21"/>
  <c r="O19" i="23" s="1"/>
  <c r="K52" i="21"/>
  <c r="O18" i="23" s="1"/>
  <c r="K23" i="21"/>
  <c r="K22" i="21"/>
  <c r="K17" i="21"/>
  <c r="E20" i="24"/>
  <c r="J2" i="24"/>
  <c r="E21" i="24"/>
  <c r="E22" i="24"/>
  <c r="E23" i="24"/>
  <c r="E19" i="24"/>
  <c r="G13" i="23" l="1"/>
  <c r="W10" i="23"/>
  <c r="W9" i="23"/>
  <c r="O11" i="23"/>
  <c r="G12" i="23"/>
  <c r="G9" i="23"/>
  <c r="O10" i="23"/>
  <c r="J15" i="21"/>
  <c r="F19" i="24" s="1"/>
  <c r="F22" i="24"/>
  <c r="F21" i="24"/>
  <c r="F23" i="24"/>
  <c r="F20" i="24"/>
  <c r="K32" i="21"/>
  <c r="G20" i="23" s="1"/>
  <c r="K35" i="21"/>
  <c r="G23" i="23" s="1"/>
  <c r="K34" i="21"/>
  <c r="G22" i="23" s="1"/>
  <c r="K33" i="21"/>
  <c r="G21" i="23" s="1"/>
  <c r="K31" i="21"/>
  <c r="G19" i="23" s="1"/>
  <c r="K51" i="21"/>
  <c r="O17" i="23" s="1"/>
  <c r="K36" i="21"/>
  <c r="G24" i="23" s="1"/>
  <c r="K16" i="21"/>
  <c r="W7" i="23" s="1"/>
  <c r="K18" i="21"/>
  <c r="G10" i="23" s="1"/>
  <c r="O9" i="23" l="1"/>
  <c r="G8" i="23"/>
  <c r="E18" i="24"/>
  <c r="M7" i="21" l="1"/>
  <c r="J12" i="24" s="1"/>
  <c r="A70" i="21"/>
  <c r="M2" i="21" s="1"/>
  <c r="J1" i="24" s="1"/>
  <c r="J4" i="24" s="1"/>
  <c r="J70" i="21"/>
  <c r="M6" i="21" s="1"/>
  <c r="J9" i="24" s="1"/>
  <c r="F18" i="24"/>
  <c r="J13" i="21"/>
  <c r="K13" i="21" s="1"/>
  <c r="G7" i="23" s="1"/>
  <c r="J9" i="21"/>
  <c r="A7" i="23"/>
  <c r="Q6" i="24" s="1"/>
  <c r="T6" i="24" s="1"/>
  <c r="Q6" i="23"/>
  <c r="Q12" i="24" s="1"/>
  <c r="T12" i="24" s="1"/>
  <c r="I8" i="23"/>
  <c r="Q9" i="24" s="1"/>
  <c r="T9" i="24" s="1"/>
  <c r="W6" i="23" l="1"/>
  <c r="O8" i="23"/>
</calcChain>
</file>

<file path=xl/sharedStrings.xml><?xml version="1.0" encoding="utf-8"?>
<sst xmlns="http://schemas.openxmlformats.org/spreadsheetml/2006/main" count="278" uniqueCount="153">
  <si>
    <t>Required</t>
  </si>
  <si>
    <t>Project Priorities</t>
  </si>
  <si>
    <t>Quality of Life</t>
  </si>
  <si>
    <t>Fundamental Refrigerant Management</t>
  </si>
  <si>
    <t>Total</t>
  </si>
  <si>
    <t>Electric Vehicles</t>
  </si>
  <si>
    <t>Resilient Spaces</t>
  </si>
  <si>
    <t>Decarbonization</t>
  </si>
  <si>
    <t>Climate Resilience Assessment</t>
  </si>
  <si>
    <t>Human Impact Assessment</t>
  </si>
  <si>
    <t>Transportation Demand Management</t>
  </si>
  <si>
    <t>IPp1</t>
  </si>
  <si>
    <t>IPp2</t>
  </si>
  <si>
    <t>IPp3</t>
  </si>
  <si>
    <t>IPc1</t>
  </si>
  <si>
    <t>LTc1</t>
  </si>
  <si>
    <t>LTc2</t>
  </si>
  <si>
    <t>LTc3</t>
  </si>
  <si>
    <t>WEp1</t>
  </si>
  <si>
    <t>EAp1</t>
  </si>
  <si>
    <t>EAp2</t>
  </si>
  <si>
    <t>EAp3</t>
  </si>
  <si>
    <t>EAp4</t>
  </si>
  <si>
    <t>EAc1</t>
  </si>
  <si>
    <t>EAc2</t>
  </si>
  <si>
    <t>EAc3</t>
  </si>
  <si>
    <t>EAc4</t>
  </si>
  <si>
    <t>EAc5</t>
  </si>
  <si>
    <t>EAc6</t>
  </si>
  <si>
    <t>MRc1</t>
  </si>
  <si>
    <t>MRc2</t>
  </si>
  <si>
    <t>EQp1</t>
  </si>
  <si>
    <t>EQp2</t>
  </si>
  <si>
    <t>EQc1</t>
  </si>
  <si>
    <t>EQc2</t>
  </si>
  <si>
    <t>EQc3</t>
  </si>
  <si>
    <t>EQc4</t>
  </si>
  <si>
    <t>EQc5</t>
  </si>
  <si>
    <t>PRc1</t>
  </si>
  <si>
    <t>Location and Transportation (LT)</t>
  </si>
  <si>
    <t>Water Efficiency (WE)</t>
  </si>
  <si>
    <t>Energy and Atmosphere (EA)</t>
  </si>
  <si>
    <t>Materials and Resources (MR)</t>
  </si>
  <si>
    <t>Indoor Environmental Quality (EQ)</t>
  </si>
  <si>
    <t>Project Priorities (PR)</t>
  </si>
  <si>
    <t>Integrative Process, Planning and Assessments (IP)</t>
  </si>
  <si>
    <t>MR Credit</t>
  </si>
  <si>
    <t>EA Credit</t>
  </si>
  <si>
    <t>EQ Credit</t>
  </si>
  <si>
    <t>EA Prereq</t>
  </si>
  <si>
    <t>EQ Prereq</t>
  </si>
  <si>
    <t>WE Credit</t>
  </si>
  <si>
    <t>LT Credit</t>
  </si>
  <si>
    <t>WE Prereq</t>
  </si>
  <si>
    <t>IP Credit</t>
  </si>
  <si>
    <t>IP Prereq</t>
  </si>
  <si>
    <t>WEc2</t>
  </si>
  <si>
    <t>WEc1</t>
  </si>
  <si>
    <t>Yes</t>
  </si>
  <si>
    <t>Maybe</t>
  </si>
  <si>
    <t>No</t>
  </si>
  <si>
    <t>Project scorecard</t>
  </si>
  <si>
    <t>Total Possible Points</t>
  </si>
  <si>
    <t>Data Validation</t>
  </si>
  <si>
    <t>How to use</t>
  </si>
  <si>
    <t>points</t>
  </si>
  <si>
    <t>Ecological Conservation and Restoration</t>
  </si>
  <si>
    <t>Credit</t>
  </si>
  <si>
    <t>Notes</t>
  </si>
  <si>
    <t>Responsible Party</t>
  </si>
  <si>
    <t>Key:</t>
  </si>
  <si>
    <t>Prerequisite</t>
  </si>
  <si>
    <t>Certified Project</t>
  </si>
  <si>
    <t>Blank</t>
  </si>
  <si>
    <t>Project scorecard analytics</t>
  </si>
  <si>
    <t>Platinum Project</t>
  </si>
  <si>
    <t xml:space="preserve">* Feel free to customize this tool in any way that best suits your needs. Whether you need to add new columns or simply rearrange the layout to better fit your workflow, this tool is designed with flexibility in mind. </t>
  </si>
  <si>
    <t>Analytics</t>
  </si>
  <si>
    <t>LEED v5 for Interior Design and Construction: Commercial Interiors</t>
  </si>
  <si>
    <t>Carbon Assessment</t>
  </si>
  <si>
    <t>Integrative Design Process</t>
  </si>
  <si>
    <t>Compact and Connected Development</t>
  </si>
  <si>
    <t>Minimum Water Efficiency</t>
  </si>
  <si>
    <t>Water Metering and Leak Detection</t>
  </si>
  <si>
    <t>Enhanced Water Efficiency</t>
  </si>
  <si>
    <t>EAp5</t>
  </si>
  <si>
    <t xml:space="preserve">Estimated Energy Use and Operational Carbon Projection </t>
  </si>
  <si>
    <t>Minimum Energy Efficiency</t>
  </si>
  <si>
    <t>Fundamental Commissioning</t>
  </si>
  <si>
    <t>Energy Metering and Reporting</t>
  </si>
  <si>
    <t>Electrification</t>
  </si>
  <si>
    <t>Enhanced Energy Efficiency</t>
  </si>
  <si>
    <t>Renewable Energy</t>
  </si>
  <si>
    <t>Enhanced Commissioning</t>
  </si>
  <si>
    <t>Grid Interactive</t>
  </si>
  <si>
    <t>Enhanced Refrigerant Management</t>
  </si>
  <si>
    <t>MRp1</t>
  </si>
  <si>
    <t>MRp2</t>
  </si>
  <si>
    <t>MRc3</t>
  </si>
  <si>
    <t>MRc4</t>
  </si>
  <si>
    <t>MRc5</t>
  </si>
  <si>
    <t>Interior Materials Reuse</t>
  </si>
  <si>
    <t xml:space="preserve">Reduce Embodied Carbon </t>
  </si>
  <si>
    <t>Low-Emitting Materials</t>
  </si>
  <si>
    <t xml:space="preserve">Building Product Selection and Procurement </t>
  </si>
  <si>
    <t>Construction and Demolition Waste Diversion</t>
  </si>
  <si>
    <t>EQp3</t>
  </si>
  <si>
    <t xml:space="preserve">Construction Management </t>
  </si>
  <si>
    <t>Fundamental Air Quality</t>
  </si>
  <si>
    <t xml:space="preserve">No Smoking </t>
  </si>
  <si>
    <t>Enhanced Air Quality</t>
  </si>
  <si>
    <t>Occupant Experience</t>
  </si>
  <si>
    <t>Accessibility and Inclusion</t>
  </si>
  <si>
    <t>Air Quality Testing and Monitoring</t>
  </si>
  <si>
    <t>PRc2</t>
  </si>
  <si>
    <t>LEED AP</t>
  </si>
  <si>
    <r>
      <t xml:space="preserve">LEED v5 for Interior Design and Construction: Commercial Interiors
</t>
    </r>
    <r>
      <rPr>
        <b/>
        <sz val="12"/>
        <color rgb="FFF7F8F6"/>
        <rFont val="Bahnschrift Bold"/>
      </rPr>
      <t xml:space="preserve">
</t>
    </r>
    <r>
      <rPr>
        <b/>
        <sz val="14"/>
        <color rgb="FFF7F8F6"/>
        <rFont val="Bahnschrift Bold"/>
      </rPr>
      <t xml:space="preserve">
Scorecard</t>
    </r>
  </si>
  <si>
    <t xml:space="preserve">ID+C credit category view </t>
  </si>
  <si>
    <t xml:space="preserve">ID+C impact area view </t>
  </si>
  <si>
    <t>1. Navigate to the "ID+C Credit Category View" tab</t>
  </si>
  <si>
    <t xml:space="preserve">LT Credit </t>
  </si>
  <si>
    <t>MR Prereq</t>
  </si>
  <si>
    <t>Planning for Zero Waste Operations</t>
  </si>
  <si>
    <t>Quantify and Assess Embodied Carbon</t>
  </si>
  <si>
    <t>Total Possible Points by Credit Category</t>
  </si>
  <si>
    <t>Related Charts</t>
  </si>
  <si>
    <t>3. For each prerequisite, utilize the checkbox in Columns A-C, titled "Yes", "Maybe" and "No". Please note prerequisites do not count toward point totals.</t>
  </si>
  <si>
    <t>Total Anticipated Points</t>
  </si>
  <si>
    <t>"No": Points will not count towards your totals.</t>
  </si>
  <si>
    <t>"Maybe": Points will count towards your totals.</t>
  </si>
  <si>
    <t>"Yes": Points will count towards your total.</t>
  </si>
  <si>
    <t>Provides basic analytics derived from points, credit, and prerequisite data entered.</t>
  </si>
  <si>
    <t>Provides a directional indicator of the credits per impact area.</t>
  </si>
  <si>
    <t>Provides an overview of points per credit category</t>
  </si>
  <si>
    <t>Total Anticipated Points versus LEED Certification Levels</t>
  </si>
  <si>
    <t>Total Anticipated Points Distribution</t>
  </si>
  <si>
    <t>Anticipated Decarbonization Credits</t>
  </si>
  <si>
    <t>Anticipated Quality of Life Credits</t>
  </si>
  <si>
    <t>Anticipated Ecological Conservation and Restoration Credits</t>
  </si>
  <si>
    <t>Total Anticipated Points by Credit Category</t>
  </si>
  <si>
    <t>Project Priority 1:</t>
  </si>
  <si>
    <t>Project Priority 2:</t>
  </si>
  <si>
    <t>Project Priority 3:</t>
  </si>
  <si>
    <t>Project Priority 4:</t>
  </si>
  <si>
    <t>Project Priority 5:</t>
  </si>
  <si>
    <t>Project Priority 6:</t>
  </si>
  <si>
    <t>Project Priority 7:</t>
  </si>
  <si>
    <t>Project Priority 8:</t>
  </si>
  <si>
    <t>Project Priority 9:</t>
  </si>
  <si>
    <t>Insert credit name</t>
  </si>
  <si>
    <t xml:space="preserve">2. For each credit, enter the number of anticipated points in Columns A-C, titled "Yes", "Maybe" and "No". </t>
  </si>
  <si>
    <t>5. "ID+C impact area view " tab will automatically update with all the decisions you made on the "ID+C Credit Category View" tab; no additional input is needed.</t>
  </si>
  <si>
    <t>4. For Project Priorities, utilize column H to enter up to 9 credit names and anticipated points per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</si>
</sst>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Calibri"/>
      <family val="2"/>
      <scheme val="minor"/>
    </font>
    <font>
      <sz val="10"/>
      <name val="Arial"/>
      <family val="2"/>
    </font>
    <font>
      <sz val="8"/>
      <color theme="1"/>
      <name val="Arial"/>
      <family val="2"/>
    </font>
    <font>
      <sz val="8"/>
      <name val="Arial"/>
      <family val="2"/>
    </font>
    <font>
      <b/>
      <sz val="12"/>
      <name val="Arial"/>
      <family val="2"/>
    </font>
    <font>
      <b/>
      <sz val="8"/>
      <name val="Arial"/>
      <family val="2"/>
    </font>
    <font>
      <sz val="11"/>
      <color theme="1"/>
      <name val="Arial"/>
      <family val="2"/>
    </font>
    <font>
      <b/>
      <sz val="7"/>
      <color rgb="FF7C7C7C"/>
      <name val="Arial"/>
      <family val="2"/>
    </font>
    <font>
      <sz val="18"/>
      <name val="Bahnschrift Light SemiCondensed"/>
      <family val="2"/>
    </font>
    <font>
      <b/>
      <sz val="11"/>
      <color theme="0"/>
      <name val="Bahnschrift SemiBold"/>
      <family val="2"/>
    </font>
    <font>
      <b/>
      <sz val="10"/>
      <name val="Bahnschrift Regular"/>
    </font>
    <font>
      <sz val="11"/>
      <color theme="1"/>
      <name val="Bahnschrift SemiBold"/>
      <family val="2"/>
    </font>
    <font>
      <sz val="11"/>
      <name val="Bahnschrift Light SemiCondensed"/>
      <family val="2"/>
    </font>
    <font>
      <b/>
      <sz val="11"/>
      <color theme="0"/>
      <name val="Bahnschrift SemiBold"/>
      <family val="2"/>
    </font>
    <font>
      <sz val="11"/>
      <color theme="1"/>
      <name val="Bahnschrift Regular"/>
    </font>
    <font>
      <sz val="11"/>
      <name val="Bahnschrift Regular"/>
    </font>
    <font>
      <sz val="11"/>
      <color theme="0"/>
      <name val="Bahnschrift SemiBold"/>
      <family val="2"/>
    </font>
    <font>
      <sz val="8"/>
      <name val="Calibri"/>
      <family val="2"/>
      <scheme val="minor"/>
    </font>
    <font>
      <sz val="11"/>
      <name val="Arial"/>
      <family val="2"/>
    </font>
    <font>
      <b/>
      <sz val="11"/>
      <color theme="1"/>
      <name val="Calibri"/>
      <family val="2"/>
      <scheme val="minor"/>
    </font>
    <font>
      <sz val="11"/>
      <color rgb="FF000000"/>
      <name val="Bahnschrift Light SemiCondensed"/>
      <family val="2"/>
    </font>
    <font>
      <sz val="11"/>
      <color theme="0"/>
      <name val="Bahnschrift SemiCondensed"/>
      <family val="2"/>
    </font>
    <font>
      <b/>
      <sz val="11"/>
      <color theme="1"/>
      <name val="Bahnschrift Light SemiCondensed"/>
      <family val="2"/>
    </font>
    <font>
      <sz val="11"/>
      <color theme="1"/>
      <name val="Bahnschrift Light SemiCondensed"/>
      <family val="2"/>
    </font>
    <font>
      <sz val="14"/>
      <color theme="0"/>
      <name val="Bahnschrift Light SemiCondensed"/>
      <family val="2"/>
    </font>
    <font>
      <b/>
      <sz val="14"/>
      <color rgb="FF343434"/>
      <name val="Bahnschrift Bold"/>
    </font>
    <font>
      <sz val="11"/>
      <color rgb="FF000000"/>
      <name val="Bahnschrift Light SemiCondensed"/>
      <family val="2"/>
    </font>
    <font>
      <b/>
      <sz val="22"/>
      <color rgb="FF343434"/>
      <name val="Bahnschrift Bold"/>
    </font>
    <font>
      <sz val="11"/>
      <color theme="1"/>
      <name val="Bahnschrift"/>
      <family val="2"/>
    </font>
    <font>
      <sz val="11"/>
      <color rgb="FF343434"/>
      <name val="Bahnschrift"/>
      <family val="2"/>
    </font>
    <font>
      <sz val="11"/>
      <color rgb="FF000000"/>
      <name val="Bahnschrift"/>
      <family val="2"/>
    </font>
    <font>
      <sz val="8"/>
      <color theme="1"/>
      <name val="Bahnschrift"/>
      <family val="2"/>
    </font>
    <font>
      <sz val="11"/>
      <name val="Bahnschrift"/>
      <family val="2"/>
    </font>
    <font>
      <sz val="10"/>
      <color rgb="FF343434"/>
      <name val="Bahnschrift"/>
      <family val="2"/>
    </font>
    <font>
      <sz val="10"/>
      <color theme="1"/>
      <name val="Calibri"/>
      <family val="2"/>
      <scheme val="minor"/>
    </font>
    <font>
      <b/>
      <sz val="11"/>
      <color rgb="FF343434"/>
      <name val="Bahnschrift Bold"/>
    </font>
    <font>
      <b/>
      <sz val="11"/>
      <name val="Bahnschrift SemiBold"/>
      <family val="2"/>
    </font>
    <font>
      <sz val="11"/>
      <color theme="0"/>
      <name val="Calibri"/>
      <family val="2"/>
      <scheme val="minor"/>
    </font>
    <font>
      <sz val="11"/>
      <color theme="1"/>
      <name val="Arial"/>
      <family val="2"/>
    </font>
    <font>
      <sz val="14"/>
      <color theme="0"/>
      <name val="Bahnschrift Light SemiCondensed"/>
      <family val="2"/>
    </font>
    <font>
      <sz val="11"/>
      <color rgb="FF343434"/>
      <name val="Arial"/>
      <family val="2"/>
    </font>
    <font>
      <sz val="11"/>
      <name val="Calibri"/>
      <family val="2"/>
      <scheme val="minor"/>
    </font>
    <font>
      <sz val="10"/>
      <name val="Calibri"/>
      <family val="2"/>
      <scheme val="minor"/>
    </font>
    <font>
      <sz val="14"/>
      <name val="Calibri"/>
      <family val="2"/>
      <scheme val="minor"/>
    </font>
    <font>
      <b/>
      <sz val="10"/>
      <name val="Bahnschrift"/>
      <family val="2"/>
    </font>
    <font>
      <sz val="10"/>
      <name val="Bahnschrift"/>
      <family val="2"/>
    </font>
    <font>
      <b/>
      <sz val="14"/>
      <color rgb="FFF7F8F6"/>
      <name val="Bahnschrift Bold"/>
    </font>
    <font>
      <b/>
      <sz val="12"/>
      <color rgb="FFF7F8F6"/>
      <name val="Bahnschrift Bold"/>
    </font>
    <font>
      <sz val="8"/>
      <color theme="0"/>
      <name val="Calibri"/>
      <family val="2"/>
      <scheme val="minor"/>
    </font>
    <font>
      <sz val="8"/>
      <name val="Bahnschrift"/>
      <family val="2"/>
    </font>
    <font>
      <sz val="10"/>
      <color theme="0"/>
      <name val="Calibri"/>
      <family val="2"/>
      <scheme val="minor"/>
    </font>
    <font>
      <sz val="8"/>
      <name val="Bahnschrift Light SemiCondensed"/>
      <family val="2"/>
    </font>
    <font>
      <b/>
      <sz val="11"/>
      <name val="Bahnschrift Light SemiCondensed"/>
      <family val="2"/>
    </font>
    <font>
      <sz val="11"/>
      <color theme="0"/>
      <name val="Bahnschrift SemiCondensed"/>
      <family val="2"/>
    </font>
    <font>
      <sz val="11"/>
      <color rgb="FF343434"/>
      <name val="Bahnschrift Bold"/>
    </font>
    <font>
      <u/>
      <sz val="11"/>
      <name val="Calibri"/>
      <family val="2"/>
      <scheme val="minor"/>
    </font>
    <font>
      <sz val="12"/>
      <name val="Bahnschrift Light SemiCondensed"/>
      <family val="2"/>
    </font>
    <font>
      <sz val="14"/>
      <name val="Bahnschrift Light SemiCondensed"/>
      <family val="2"/>
    </font>
    <font>
      <b/>
      <sz val="14"/>
      <name val="Bahnschrift Light SemiCondensed"/>
      <family val="2"/>
    </font>
    <font>
      <sz val="11"/>
      <name val="Arial"/>
    </font>
    <font>
      <sz val="8"/>
      <name val="Arial"/>
    </font>
    <font>
      <sz val="11"/>
      <name val="Bahnschrift Light SemiCondensed"/>
    </font>
    <font>
      <i/>
      <sz val="11"/>
      <name val="Bahnschrift Light SemiCondensed"/>
      <family val="2"/>
    </font>
  </fonts>
  <fills count="1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2"/>
        <bgColor indexed="64"/>
      </patternFill>
    </fill>
    <fill>
      <patternFill patternType="solid">
        <fgColor rgb="FF343434"/>
        <bgColor indexed="64"/>
      </patternFill>
    </fill>
    <fill>
      <patternFill patternType="solid">
        <fgColor theme="0" tint="-4.9989318521683403E-2"/>
        <bgColor indexed="64"/>
      </patternFill>
    </fill>
    <fill>
      <patternFill patternType="solid">
        <fgColor rgb="FF595E85"/>
        <bgColor rgb="FFF8F8F6"/>
      </patternFill>
    </fill>
    <fill>
      <patternFill patternType="solid">
        <fgColor rgb="FFF7F8F6"/>
        <bgColor indexed="64"/>
      </patternFill>
    </fill>
    <fill>
      <patternFill patternType="solid">
        <fgColor theme="0"/>
        <bgColor rgb="FF000000"/>
      </patternFill>
    </fill>
  </fills>
  <borders count="57">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right/>
      <top/>
      <bottom style="thin">
        <color theme="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rgb="FF343434"/>
      </left>
      <right style="thin">
        <color rgb="FF343434"/>
      </right>
      <top style="thin">
        <color rgb="FF343434"/>
      </top>
      <bottom style="thin">
        <color rgb="FF34343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rgb="FF343434"/>
      </right>
      <top style="thin">
        <color indexed="64"/>
      </top>
      <bottom style="thin">
        <color indexed="64"/>
      </bottom>
      <diagonal/>
    </border>
    <border>
      <left style="thin">
        <color rgb="FF343434"/>
      </left>
      <right style="thin">
        <color rgb="FF343434"/>
      </right>
      <top style="thin">
        <color indexed="64"/>
      </top>
      <bottom style="thin">
        <color indexed="64"/>
      </bottom>
      <diagonal/>
    </border>
    <border>
      <left/>
      <right/>
      <top style="thin">
        <color theme="0" tint="-4.9989318521683403E-2"/>
      </top>
      <bottom style="thin">
        <color theme="0" tint="-4.9989318521683403E-2"/>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rgb="FF343434"/>
      </left>
      <right style="thin">
        <color theme="0"/>
      </right>
      <top style="thin">
        <color rgb="FF343434"/>
      </top>
      <bottom style="thin">
        <color theme="0"/>
      </bottom>
      <diagonal/>
    </border>
    <border>
      <left style="thin">
        <color theme="0"/>
      </left>
      <right style="thin">
        <color theme="0"/>
      </right>
      <top style="thin">
        <color rgb="FF343434"/>
      </top>
      <bottom style="thin">
        <color theme="0"/>
      </bottom>
      <diagonal/>
    </border>
    <border>
      <left style="thin">
        <color theme="0"/>
      </left>
      <right style="thin">
        <color rgb="FF343434"/>
      </right>
      <top style="thin">
        <color rgb="FF343434"/>
      </top>
      <bottom style="thin">
        <color theme="0"/>
      </bottom>
      <diagonal/>
    </border>
    <border>
      <left style="thin">
        <color rgb="FF343434"/>
      </left>
      <right style="thin">
        <color theme="0"/>
      </right>
      <top style="thin">
        <color theme="0"/>
      </top>
      <bottom style="thin">
        <color theme="0"/>
      </bottom>
      <diagonal/>
    </border>
    <border>
      <left style="thin">
        <color theme="0"/>
      </left>
      <right style="thin">
        <color rgb="FF343434"/>
      </right>
      <top style="thin">
        <color theme="0"/>
      </top>
      <bottom style="thin">
        <color theme="0"/>
      </bottom>
      <diagonal/>
    </border>
    <border>
      <left style="thin">
        <color rgb="FF343434"/>
      </left>
      <right style="thin">
        <color theme="0"/>
      </right>
      <top style="thin">
        <color theme="0"/>
      </top>
      <bottom style="thin">
        <color rgb="FF343434"/>
      </bottom>
      <diagonal/>
    </border>
    <border>
      <left style="thin">
        <color theme="0"/>
      </left>
      <right style="thin">
        <color theme="0"/>
      </right>
      <top style="thin">
        <color theme="0"/>
      </top>
      <bottom style="thin">
        <color rgb="FF343434"/>
      </bottom>
      <diagonal/>
    </border>
    <border>
      <left/>
      <right style="thin">
        <color theme="0"/>
      </right>
      <top style="thin">
        <color theme="0"/>
      </top>
      <bottom style="thin">
        <color rgb="FF343434"/>
      </bottom>
      <diagonal/>
    </border>
    <border>
      <left style="thin">
        <color theme="0"/>
      </left>
      <right style="thin">
        <color rgb="FF343434"/>
      </right>
      <top style="thin">
        <color theme="0"/>
      </top>
      <bottom style="thin">
        <color rgb="FF343434"/>
      </bottom>
      <diagonal/>
    </border>
    <border>
      <left/>
      <right/>
      <top style="thin">
        <color rgb="FF343434"/>
      </top>
      <bottom style="thin">
        <color rgb="FF343434"/>
      </bottom>
      <diagonal/>
    </border>
    <border>
      <left/>
      <right style="thin">
        <color rgb="FF343434"/>
      </right>
      <top style="thin">
        <color rgb="FF343434"/>
      </top>
      <bottom style="thin">
        <color rgb="FF343434"/>
      </bottom>
      <diagonal/>
    </border>
    <border>
      <left style="thin">
        <color rgb="FF343434"/>
      </left>
      <right/>
      <top style="thin">
        <color rgb="FF343434"/>
      </top>
      <bottom style="thin">
        <color rgb="FF343434"/>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s>
  <cellStyleXfs count="2">
    <xf numFmtId="0" fontId="0" fillId="0" borderId="0"/>
    <xf numFmtId="0" fontId="1" fillId="0" borderId="0"/>
  </cellStyleXfs>
  <cellXfs count="376">
    <xf numFmtId="0" fontId="0" fillId="0" borderId="0" xfId="0"/>
    <xf numFmtId="0" fontId="6" fillId="0" borderId="1" xfId="0" applyFont="1" applyBorder="1"/>
    <xf numFmtId="0" fontId="4" fillId="2" borderId="1" xfId="0" applyFont="1" applyFill="1" applyBorder="1" applyAlignment="1">
      <alignment horizontal="center" vertical="center"/>
    </xf>
    <xf numFmtId="0" fontId="0" fillId="0" borderId="1" xfId="0" applyBorder="1"/>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vertical="center"/>
    </xf>
    <xf numFmtId="0" fontId="19" fillId="0" borderId="1" xfId="0" applyFont="1" applyBorder="1" applyAlignment="1">
      <alignment horizontal="left" vertical="center"/>
    </xf>
    <xf numFmtId="0" fontId="22" fillId="0" borderId="1" xfId="0" applyFont="1" applyBorder="1" applyAlignment="1">
      <alignment horizontal="left" vertical="center"/>
    </xf>
    <xf numFmtId="0" fontId="23" fillId="0" borderId="1" xfId="0" applyFont="1" applyBorder="1" applyAlignment="1">
      <alignment vertical="center"/>
    </xf>
    <xf numFmtId="0" fontId="23" fillId="0" borderId="1" xfId="0" applyFont="1" applyBorder="1" applyAlignment="1">
      <alignment horizontal="left" vertical="center"/>
    </xf>
    <xf numFmtId="9" fontId="0" fillId="0" borderId="1" xfId="0" applyNumberFormat="1" applyBorder="1" applyAlignment="1">
      <alignment vertical="center"/>
    </xf>
    <xf numFmtId="0" fontId="6" fillId="0" borderId="1" xfId="0" applyFont="1" applyBorder="1" applyAlignment="1">
      <alignment horizontal="center"/>
    </xf>
    <xf numFmtId="0" fontId="25" fillId="2" borderId="1" xfId="0" applyFont="1" applyFill="1" applyBorder="1" applyAlignment="1">
      <alignment horizontal="left" vertical="center"/>
    </xf>
    <xf numFmtId="0" fontId="23" fillId="0" borderId="4" xfId="0" applyFont="1" applyBorder="1" applyAlignment="1">
      <alignment vertical="center"/>
    </xf>
    <xf numFmtId="0" fontId="28" fillId="0" borderId="1" xfId="0" applyFont="1" applyBorder="1" applyAlignment="1">
      <alignment horizontal="center" vertical="center"/>
    </xf>
    <xf numFmtId="0" fontId="28" fillId="0" borderId="3" xfId="0" applyFont="1" applyBorder="1" applyAlignment="1">
      <alignment horizontal="center" vertical="center"/>
    </xf>
    <xf numFmtId="0" fontId="20" fillId="0" borderId="3" xfId="0" applyFont="1" applyBorder="1" applyAlignment="1">
      <alignment vertical="center"/>
    </xf>
    <xf numFmtId="0" fontId="20" fillId="11" borderId="14" xfId="0" applyFont="1" applyFill="1" applyBorder="1" applyAlignment="1">
      <alignment horizontal="left" vertical="center"/>
    </xf>
    <xf numFmtId="0" fontId="0" fillId="2" borderId="1" xfId="0" applyFill="1" applyBorder="1" applyAlignment="1">
      <alignment horizontal="left"/>
    </xf>
    <xf numFmtId="0" fontId="12" fillId="2" borderId="1" xfId="0" applyFont="1" applyFill="1" applyBorder="1" applyAlignment="1">
      <alignment horizontal="left" vertical="center"/>
    </xf>
    <xf numFmtId="0" fontId="20" fillId="2" borderId="0" xfId="0" applyFont="1" applyFill="1" applyBorder="1" applyAlignment="1">
      <alignment horizontal="left" vertical="center"/>
    </xf>
    <xf numFmtId="0" fontId="20" fillId="2" borderId="11" xfId="0" applyFont="1" applyFill="1" applyBorder="1" applyAlignment="1">
      <alignment horizontal="left" vertical="center"/>
    </xf>
    <xf numFmtId="0" fontId="34" fillId="0" borderId="1" xfId="0" applyFont="1" applyBorder="1"/>
    <xf numFmtId="0" fontId="34" fillId="0" borderId="3" xfId="0" applyFont="1" applyBorder="1"/>
    <xf numFmtId="0" fontId="0" fillId="0" borderId="9" xfId="0" applyBorder="1" applyAlignment="1">
      <alignment vertical="center"/>
    </xf>
    <xf numFmtId="0" fontId="0" fillId="0" borderId="2" xfId="0" applyBorder="1" applyAlignment="1">
      <alignment horizontal="center"/>
    </xf>
    <xf numFmtId="0" fontId="6" fillId="0" borderId="1" xfId="0" applyFont="1" applyBorder="1" applyAlignment="1"/>
    <xf numFmtId="0" fontId="0" fillId="0" borderId="1" xfId="0" applyFont="1" applyBorder="1"/>
    <xf numFmtId="0" fontId="35" fillId="2" borderId="1" xfId="0" applyFont="1" applyFill="1" applyBorder="1" applyAlignment="1">
      <alignment horizontal="left"/>
    </xf>
    <xf numFmtId="0" fontId="0" fillId="0" borderId="1" xfId="0" applyFont="1" applyBorder="1" applyAlignment="1">
      <alignment vertical="center"/>
    </xf>
    <xf numFmtId="0" fontId="0" fillId="0" borderId="2" xfId="0" applyBorder="1" applyAlignment="1">
      <alignment vertical="center"/>
    </xf>
    <xf numFmtId="0" fontId="0" fillId="0" borderId="9" xfId="0" applyFont="1" applyBorder="1" applyAlignment="1">
      <alignment vertical="center"/>
    </xf>
    <xf numFmtId="0" fontId="20" fillId="11" borderId="3" xfId="0" applyFont="1" applyFill="1" applyBorder="1" applyAlignment="1">
      <alignment vertical="center"/>
    </xf>
    <xf numFmtId="0" fontId="6" fillId="0" borderId="1" xfId="0" applyFont="1" applyBorder="1" applyAlignment="1" applyProtection="1">
      <alignment horizontal="center"/>
    </xf>
    <xf numFmtId="0" fontId="12" fillId="2" borderId="1" xfId="0" applyFont="1" applyFill="1" applyBorder="1" applyAlignment="1" applyProtection="1">
      <alignment horizontal="center" vertical="center"/>
    </xf>
    <xf numFmtId="0" fontId="8" fillId="2" borderId="1" xfId="0" applyFont="1" applyFill="1" applyBorder="1" applyAlignment="1" applyProtection="1">
      <alignment vertical="center"/>
    </xf>
    <xf numFmtId="0" fontId="5" fillId="2" borderId="1" xfId="0" applyFont="1" applyFill="1" applyBorder="1" applyAlignment="1" applyProtection="1">
      <alignment vertical="center"/>
    </xf>
    <xf numFmtId="0" fontId="4" fillId="2" borderId="1" xfId="0" applyFont="1" applyFill="1" applyBorder="1" applyAlignment="1" applyProtection="1">
      <alignment vertical="center"/>
    </xf>
    <xf numFmtId="0" fontId="4" fillId="2" borderId="1" xfId="0" applyFont="1" applyFill="1" applyBorder="1" applyAlignment="1" applyProtection="1">
      <alignment horizontal="center" vertical="center"/>
    </xf>
    <xf numFmtId="0" fontId="6" fillId="0" borderId="1" xfId="0" applyFont="1" applyBorder="1" applyProtection="1"/>
    <xf numFmtId="0" fontId="27" fillId="2" borderId="4" xfId="0" applyFont="1" applyFill="1" applyBorder="1" applyAlignment="1" applyProtection="1">
      <alignment horizontal="left" vertical="center"/>
    </xf>
    <xf numFmtId="0" fontId="25" fillId="2" borderId="5" xfId="0" applyFont="1" applyFill="1" applyBorder="1" applyAlignment="1" applyProtection="1">
      <alignment horizontal="left" vertical="center"/>
    </xf>
    <xf numFmtId="0" fontId="25" fillId="2" borderId="2" xfId="0" applyFont="1" applyFill="1" applyBorder="1" applyAlignment="1" applyProtection="1">
      <alignment horizontal="left" vertical="center"/>
    </xf>
    <xf numFmtId="0" fontId="29" fillId="0" borderId="1" xfId="0" applyFont="1" applyBorder="1" applyProtection="1"/>
    <xf numFmtId="0" fontId="18" fillId="2" borderId="1" xfId="0" applyFont="1" applyFill="1" applyBorder="1" applyAlignment="1" applyProtection="1">
      <alignment horizontal="center" vertical="center"/>
    </xf>
    <xf numFmtId="0" fontId="6" fillId="0" borderId="2" xfId="0" applyFont="1" applyBorder="1" applyProtection="1"/>
    <xf numFmtId="0" fontId="28" fillId="0" borderId="9" xfId="0" applyFont="1" applyBorder="1" applyAlignment="1" applyProtection="1">
      <alignment horizontal="center"/>
    </xf>
    <xf numFmtId="0" fontId="28" fillId="2" borderId="1" xfId="0" applyFont="1" applyFill="1" applyBorder="1" applyAlignment="1" applyProtection="1">
      <alignment horizontal="center"/>
    </xf>
    <xf numFmtId="0" fontId="30" fillId="11" borderId="14" xfId="0" applyFont="1" applyFill="1" applyBorder="1" applyAlignment="1" applyProtection="1">
      <alignment horizontal="center"/>
    </xf>
    <xf numFmtId="0" fontId="12" fillId="11" borderId="14" xfId="0" applyFont="1" applyFill="1" applyBorder="1" applyAlignment="1" applyProtection="1">
      <alignment horizontal="left"/>
    </xf>
    <xf numFmtId="0" fontId="33" fillId="0" borderId="18" xfId="0" applyFont="1" applyBorder="1" applyAlignment="1" applyProtection="1">
      <alignment horizontal="left"/>
    </xf>
    <xf numFmtId="0" fontId="12" fillId="2" borderId="19" xfId="0" applyFont="1" applyFill="1" applyBorder="1" applyAlignment="1" applyProtection="1">
      <alignment horizontal="center"/>
    </xf>
    <xf numFmtId="0" fontId="33" fillId="0" borderId="20" xfId="0" applyFont="1" applyBorder="1" applyAlignment="1" applyProtection="1">
      <alignment horizontal="center"/>
    </xf>
    <xf numFmtId="0" fontId="33" fillId="0" borderId="21" xfId="0" applyFont="1" applyBorder="1" applyAlignment="1" applyProtection="1">
      <alignment horizontal="left"/>
    </xf>
    <xf numFmtId="0" fontId="12" fillId="2" borderId="1" xfId="0" applyFont="1" applyFill="1" applyBorder="1" applyAlignment="1" applyProtection="1">
      <alignment horizontal="center"/>
    </xf>
    <xf numFmtId="0" fontId="33" fillId="0" borderId="22" xfId="0" applyFont="1" applyBorder="1" applyAlignment="1" applyProtection="1">
      <alignment horizontal="center"/>
    </xf>
    <xf numFmtId="0" fontId="30" fillId="2" borderId="1" xfId="0" applyFont="1" applyFill="1" applyBorder="1" applyAlignment="1" applyProtection="1">
      <alignment horizontal="center"/>
    </xf>
    <xf numFmtId="0" fontId="26" fillId="2" borderId="1" xfId="0" applyFont="1" applyFill="1" applyBorder="1" applyAlignment="1" applyProtection="1">
      <alignment horizontal="center" wrapText="1"/>
    </xf>
    <xf numFmtId="0" fontId="33" fillId="0" borderId="23" xfId="0" applyFont="1" applyBorder="1" applyAlignment="1" applyProtection="1">
      <alignment horizontal="left"/>
    </xf>
    <xf numFmtId="0" fontId="26" fillId="2" borderId="25" xfId="0" applyFont="1" applyFill="1" applyBorder="1" applyAlignment="1" applyProtection="1">
      <alignment horizontal="center" wrapText="1"/>
    </xf>
    <xf numFmtId="0" fontId="33" fillId="0" borderId="26" xfId="0" applyFont="1" applyBorder="1" applyAlignment="1" applyProtection="1">
      <alignment horizontal="center"/>
    </xf>
    <xf numFmtId="0" fontId="31" fillId="0" borderId="1" xfId="0" applyFont="1" applyBorder="1" applyProtection="1"/>
    <xf numFmtId="0" fontId="10" fillId="2" borderId="1" xfId="0" applyFont="1" applyFill="1" applyBorder="1" applyAlignment="1" applyProtection="1">
      <alignment horizontal="center"/>
    </xf>
    <xf numFmtId="0" fontId="2" fillId="0" borderId="1" xfId="0" applyFont="1" applyBorder="1" applyProtection="1"/>
    <xf numFmtId="0" fontId="2" fillId="0" borderId="3" xfId="0" applyFont="1" applyBorder="1" applyProtection="1"/>
    <xf numFmtId="0" fontId="6" fillId="0" borderId="3" xfId="0" applyFont="1" applyBorder="1" applyProtection="1"/>
    <xf numFmtId="0" fontId="28" fillId="0" borderId="1" xfId="0" applyFont="1" applyBorder="1" applyProtection="1"/>
    <xf numFmtId="0" fontId="28" fillId="2" borderId="1" xfId="0" applyFont="1" applyFill="1" applyBorder="1" applyProtection="1"/>
    <xf numFmtId="0" fontId="9" fillId="5" borderId="9" xfId="0" applyFont="1" applyFill="1" applyBorder="1" applyAlignment="1" applyProtection="1">
      <alignment horizontal="center" vertical="center"/>
    </xf>
    <xf numFmtId="0" fontId="11" fillId="0" borderId="9" xfId="0" applyFont="1" applyBorder="1" applyProtection="1"/>
    <xf numFmtId="0" fontId="12" fillId="2" borderId="2" xfId="0" applyFont="1" applyFill="1" applyBorder="1" applyAlignment="1" applyProtection="1">
      <alignment horizontal="left"/>
    </xf>
    <xf numFmtId="0" fontId="0" fillId="0" borderId="1" xfId="0" applyBorder="1" applyProtection="1"/>
    <xf numFmtId="0" fontId="12" fillId="2" borderId="12" xfId="0" applyFont="1" applyFill="1" applyBorder="1" applyAlignment="1" applyProtection="1">
      <alignment horizontal="left"/>
    </xf>
    <xf numFmtId="0" fontId="12" fillId="2" borderId="3" xfId="0" applyFont="1" applyFill="1" applyBorder="1" applyAlignment="1" applyProtection="1">
      <alignment horizontal="center"/>
    </xf>
    <xf numFmtId="0" fontId="30" fillId="0" borderId="1" xfId="0" applyFont="1" applyBorder="1" applyAlignment="1" applyProtection="1">
      <alignment horizontal="center"/>
    </xf>
    <xf numFmtId="0" fontId="11" fillId="0" borderId="1" xfId="0" applyFont="1" applyBorder="1" applyProtection="1"/>
    <xf numFmtId="0" fontId="18" fillId="0" borderId="1" xfId="0" applyFont="1" applyBorder="1" applyProtection="1"/>
    <xf numFmtId="0" fontId="28" fillId="0" borderId="1" xfId="0" applyFont="1" applyBorder="1" applyAlignment="1" applyProtection="1">
      <alignment horizontal="center"/>
    </xf>
    <xf numFmtId="0" fontId="12" fillId="2" borderId="1" xfId="0" applyFont="1" applyFill="1" applyBorder="1" applyProtection="1"/>
    <xf numFmtId="0" fontId="28" fillId="0" borderId="9" xfId="0" applyFont="1" applyBorder="1" applyProtection="1"/>
    <xf numFmtId="0" fontId="13" fillId="6" borderId="1" xfId="0" applyFont="1" applyFill="1" applyBorder="1" applyAlignment="1" applyProtection="1">
      <alignment horizontal="center" vertical="center"/>
    </xf>
    <xf numFmtId="0" fontId="12" fillId="2" borderId="2" xfId="0" applyFont="1" applyFill="1" applyBorder="1" applyProtection="1"/>
    <xf numFmtId="0" fontId="30" fillId="0" borderId="9" xfId="0" applyFont="1" applyBorder="1" applyAlignment="1" applyProtection="1">
      <alignment horizontal="center"/>
    </xf>
    <xf numFmtId="0" fontId="30" fillId="2" borderId="9" xfId="0" applyFont="1" applyFill="1" applyBorder="1" applyAlignment="1" applyProtection="1">
      <alignment horizontal="center"/>
    </xf>
    <xf numFmtId="0" fontId="13" fillId="7" borderId="9" xfId="0" applyFont="1" applyFill="1" applyBorder="1" applyAlignment="1" applyProtection="1">
      <alignment horizontal="center" vertical="center"/>
    </xf>
    <xf numFmtId="0" fontId="30" fillId="2" borderId="3" xfId="0" applyFont="1" applyFill="1" applyBorder="1" applyAlignment="1" applyProtection="1">
      <alignment horizontal="center"/>
    </xf>
    <xf numFmtId="0" fontId="12" fillId="0" borderId="2" xfId="0" applyFont="1" applyBorder="1" applyAlignment="1" applyProtection="1">
      <alignment horizontal="left"/>
    </xf>
    <xf numFmtId="0" fontId="12" fillId="0" borderId="1" xfId="0" applyFont="1" applyBorder="1" applyAlignment="1" applyProtection="1">
      <alignment horizontal="center"/>
    </xf>
    <xf numFmtId="0" fontId="12" fillId="2" borderId="1" xfId="0" quotePrefix="1" applyFont="1" applyFill="1" applyBorder="1" applyAlignment="1" applyProtection="1">
      <alignment horizontal="center"/>
    </xf>
    <xf numFmtId="0" fontId="32" fillId="2" borderId="1" xfId="0" applyFont="1" applyFill="1" applyBorder="1" applyProtection="1"/>
    <xf numFmtId="0" fontId="14" fillId="0" borderId="2" xfId="0" applyFont="1" applyBorder="1" applyProtection="1"/>
    <xf numFmtId="0" fontId="14" fillId="0" borderId="1" xfId="0" applyFont="1" applyBorder="1" applyProtection="1"/>
    <xf numFmtId="0" fontId="14" fillId="0" borderId="1" xfId="0" applyFont="1" applyBorder="1" applyAlignment="1" applyProtection="1">
      <alignment horizontal="center"/>
    </xf>
    <xf numFmtId="0" fontId="13" fillId="8" borderId="1" xfId="0" applyFont="1" applyFill="1" applyBorder="1" applyAlignment="1" applyProtection="1">
      <alignment horizontal="center" vertical="center"/>
    </xf>
    <xf numFmtId="0" fontId="3" fillId="0" borderId="1" xfId="0" applyFont="1" applyBorder="1" applyProtection="1"/>
    <xf numFmtId="0" fontId="14" fillId="2" borderId="2" xfId="0" applyFont="1" applyFill="1" applyBorder="1" applyProtection="1"/>
    <xf numFmtId="0" fontId="14" fillId="2" borderId="1" xfId="0" applyFont="1" applyFill="1" applyBorder="1" applyProtection="1"/>
    <xf numFmtId="0" fontId="13" fillId="3" borderId="1" xfId="0" applyFont="1" applyFill="1" applyBorder="1" applyAlignment="1" applyProtection="1">
      <alignment horizontal="center" vertical="center"/>
    </xf>
    <xf numFmtId="0" fontId="15" fillId="2" borderId="2" xfId="0" applyFont="1" applyFill="1" applyBorder="1" applyAlignment="1" applyProtection="1">
      <alignment horizontal="left"/>
    </xf>
    <xf numFmtId="0" fontId="15" fillId="2" borderId="1" xfId="0" applyFont="1" applyFill="1" applyBorder="1" applyAlignment="1" applyProtection="1">
      <alignment horizontal="left"/>
    </xf>
    <xf numFmtId="0" fontId="15" fillId="2" borderId="1" xfId="0" applyFont="1" applyFill="1" applyBorder="1" applyProtection="1"/>
    <xf numFmtId="0" fontId="15" fillId="2" borderId="1" xfId="0" applyFont="1" applyFill="1" applyBorder="1" applyAlignment="1" applyProtection="1">
      <alignment horizontal="center"/>
    </xf>
    <xf numFmtId="0" fontId="16" fillId="9" borderId="1" xfId="0" applyFont="1" applyFill="1" applyBorder="1" applyAlignment="1" applyProtection="1">
      <alignment horizontal="center" vertical="center"/>
    </xf>
    <xf numFmtId="0" fontId="9" fillId="10" borderId="17" xfId="0" applyFont="1" applyFill="1" applyBorder="1" applyAlignment="1" applyProtection="1">
      <alignment horizontal="center" vertical="center"/>
    </xf>
    <xf numFmtId="0" fontId="16" fillId="10" borderId="17" xfId="0" applyFont="1" applyFill="1" applyBorder="1" applyAlignment="1" applyProtection="1">
      <alignment horizontal="right" vertical="center"/>
    </xf>
    <xf numFmtId="0" fontId="11" fillId="0" borderId="1" xfId="0" applyFont="1" applyBorder="1" applyAlignment="1" applyProtection="1">
      <alignment vertical="center"/>
    </xf>
    <xf numFmtId="0" fontId="7" fillId="2" borderId="3" xfId="0" applyFont="1" applyFill="1" applyBorder="1" applyAlignment="1" applyProtection="1">
      <alignment horizontal="center" vertical="center"/>
    </xf>
    <xf numFmtId="0" fontId="29" fillId="0" borderId="1" xfId="0" applyFont="1" applyBorder="1" applyAlignment="1">
      <alignment horizontal="center"/>
    </xf>
    <xf numFmtId="0" fontId="30" fillId="11" borderId="16" xfId="0" applyFont="1" applyFill="1" applyBorder="1" applyAlignment="1" applyProtection="1">
      <alignment horizontal="center"/>
    </xf>
    <xf numFmtId="0" fontId="12" fillId="0" borderId="3" xfId="0" applyFont="1" applyBorder="1" applyAlignment="1" applyProtection="1">
      <alignment horizontal="center"/>
      <protection locked="0"/>
    </xf>
    <xf numFmtId="0" fontId="6" fillId="0" borderId="4" xfId="0" applyFont="1" applyBorder="1"/>
    <xf numFmtId="0" fontId="27" fillId="2" borderId="5" xfId="0" applyFont="1" applyFill="1" applyBorder="1" applyAlignment="1">
      <alignment vertical="center"/>
    </xf>
    <xf numFmtId="0" fontId="29" fillId="0" borderId="5" xfId="0" applyFont="1" applyBorder="1" applyAlignment="1"/>
    <xf numFmtId="0" fontId="9" fillId="10" borderId="27" xfId="0" applyFont="1" applyFill="1" applyBorder="1" applyAlignment="1" applyProtection="1">
      <alignment horizontal="left" vertical="center"/>
    </xf>
    <xf numFmtId="0" fontId="9" fillId="10" borderId="28" xfId="0" applyFont="1" applyFill="1" applyBorder="1" applyAlignment="1" applyProtection="1">
      <alignment horizontal="left" vertical="center"/>
    </xf>
    <xf numFmtId="0" fontId="1" fillId="13" borderId="36" xfId="0" applyFont="1" applyFill="1" applyBorder="1" applyProtection="1"/>
    <xf numFmtId="0" fontId="0" fillId="0" borderId="2" xfId="0" applyBorder="1" applyProtection="1"/>
    <xf numFmtId="0" fontId="1" fillId="13" borderId="30" xfId="0" applyFont="1" applyFill="1" applyBorder="1" applyAlignment="1" applyProtection="1">
      <alignment horizontal="left" vertical="top" wrapText="1"/>
    </xf>
    <xf numFmtId="0" fontId="1" fillId="13" borderId="30" xfId="0" applyFont="1" applyFill="1" applyBorder="1" applyProtection="1"/>
    <xf numFmtId="0" fontId="27" fillId="2" borderId="4" xfId="0" applyFont="1" applyFill="1" applyBorder="1" applyAlignment="1" applyProtection="1">
      <alignment vertical="center"/>
    </xf>
    <xf numFmtId="0" fontId="1" fillId="13" borderId="37" xfId="0" applyFont="1" applyFill="1" applyBorder="1" applyAlignment="1" applyProtection="1">
      <alignment horizontal="left" vertical="top" wrapText="1"/>
    </xf>
    <xf numFmtId="0" fontId="1" fillId="13" borderId="34" xfId="0" applyFont="1" applyFill="1" applyBorder="1" applyProtection="1"/>
    <xf numFmtId="0" fontId="1" fillId="13" borderId="35" xfId="0" applyFont="1" applyFill="1" applyBorder="1" applyProtection="1"/>
    <xf numFmtId="0" fontId="27" fillId="2" borderId="5" xfId="0" applyFont="1" applyFill="1" applyBorder="1" applyAlignment="1" applyProtection="1">
      <alignment vertical="center"/>
    </xf>
    <xf numFmtId="0" fontId="0" fillId="0" borderId="3" xfId="0" applyBorder="1" applyProtection="1"/>
    <xf numFmtId="0" fontId="12" fillId="11" borderId="29" xfId="0" applyFont="1" applyFill="1" applyBorder="1" applyAlignment="1" applyProtection="1">
      <alignment vertical="center"/>
      <extLst>
        <ext xmlns:xfpb="http://schemas.microsoft.com/office/spreadsheetml/2022/featurepropertybag" uri="{C7286773-470A-42A8-94C5-96B5CB345126}">
          <xfpb:xfComplement i="0"/>
        </ext>
      </extLst>
    </xf>
    <xf numFmtId="0" fontId="6" fillId="0" borderId="2" xfId="0" applyFont="1" applyBorder="1"/>
    <xf numFmtId="0" fontId="20"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18" fillId="0" borderId="7" xfId="0" applyFont="1" applyBorder="1" applyProtection="1"/>
    <xf numFmtId="0" fontId="18" fillId="0" borderId="1" xfId="0" applyFont="1" applyBorder="1" applyAlignment="1" applyProtection="1">
      <alignment wrapText="1"/>
    </xf>
    <xf numFmtId="0" fontId="18" fillId="0" borderId="7" xfId="0" applyFont="1" applyBorder="1" applyAlignment="1" applyProtection="1">
      <alignment wrapText="1"/>
    </xf>
    <xf numFmtId="0" fontId="6" fillId="0" borderId="9" xfId="0" applyFont="1" applyBorder="1"/>
    <xf numFmtId="0" fontId="6" fillId="0" borderId="3" xfId="0" applyFont="1" applyBorder="1"/>
    <xf numFmtId="0" fontId="12" fillId="11" borderId="14" xfId="0" applyFont="1" applyFill="1" applyBorder="1" applyAlignment="1" applyProtection="1">
      <alignment horizontal="left"/>
    </xf>
    <xf numFmtId="0" fontId="12" fillId="2" borderId="2" xfId="0" applyFont="1" applyFill="1" applyBorder="1" applyAlignment="1" applyProtection="1">
      <alignment horizontal="left"/>
    </xf>
    <xf numFmtId="0" fontId="38" fillId="0" borderId="1" xfId="0" applyFont="1" applyBorder="1"/>
    <xf numFmtId="0" fontId="35" fillId="2" borderId="4" xfId="0" applyFont="1" applyFill="1" applyBorder="1" applyAlignment="1">
      <alignment horizontal="left"/>
    </xf>
    <xf numFmtId="0" fontId="0" fillId="0" borderId="2" xfId="0" applyFont="1" applyBorder="1" applyAlignment="1">
      <alignment vertical="center"/>
    </xf>
    <xf numFmtId="0" fontId="40" fillId="0" borderId="9" xfId="0" applyFont="1" applyBorder="1"/>
    <xf numFmtId="0" fontId="11" fillId="0" borderId="2" xfId="0" applyFont="1" applyBorder="1" applyProtection="1"/>
    <xf numFmtId="0" fontId="6" fillId="0" borderId="10" xfId="0" applyFont="1" applyBorder="1"/>
    <xf numFmtId="0" fontId="3" fillId="0" borderId="9" xfId="0" applyFont="1" applyBorder="1" applyProtection="1"/>
    <xf numFmtId="0" fontId="24" fillId="14" borderId="7" xfId="0" applyFont="1" applyFill="1" applyBorder="1" applyAlignment="1">
      <alignment vertical="center" wrapText="1"/>
    </xf>
    <xf numFmtId="0" fontId="24" fillId="14" borderId="8" xfId="0" applyFont="1" applyFill="1" applyBorder="1" applyAlignment="1">
      <alignment vertical="center" wrapText="1"/>
    </xf>
    <xf numFmtId="0" fontId="24" fillId="14" borderId="6" xfId="0" applyFont="1" applyFill="1" applyBorder="1" applyAlignment="1">
      <alignment vertical="center" wrapText="1"/>
    </xf>
    <xf numFmtId="0" fontId="24" fillId="2" borderId="7" xfId="0" applyFont="1" applyFill="1" applyBorder="1" applyAlignment="1">
      <alignment vertical="center" wrapText="1"/>
    </xf>
    <xf numFmtId="0" fontId="24" fillId="2" borderId="8" xfId="0" applyFont="1" applyFill="1" applyBorder="1" applyAlignment="1">
      <alignment vertical="center" wrapText="1"/>
    </xf>
    <xf numFmtId="0" fontId="24" fillId="2" borderId="6" xfId="0" applyFont="1" applyFill="1" applyBorder="1" applyAlignment="1">
      <alignment vertical="center" wrapText="1"/>
    </xf>
    <xf numFmtId="0" fontId="41" fillId="0" borderId="2" xfId="0" applyFont="1" applyBorder="1"/>
    <xf numFmtId="0" fontId="41" fillId="0" borderId="1" xfId="0" applyFont="1" applyBorder="1"/>
    <xf numFmtId="0" fontId="41" fillId="0" borderId="2" xfId="0" applyFont="1" applyBorder="1" applyAlignment="1">
      <alignment horizontal="center"/>
    </xf>
    <xf numFmtId="0" fontId="43" fillId="0" borderId="2" xfId="0" applyFont="1" applyBorder="1" applyAlignment="1">
      <alignment vertical="center"/>
    </xf>
    <xf numFmtId="0" fontId="43" fillId="0" borderId="9" xfId="0" applyFont="1" applyBorder="1" applyAlignment="1">
      <alignment vertical="center"/>
    </xf>
    <xf numFmtId="0" fontId="42" fillId="0" borderId="3" xfId="0" applyFont="1" applyBorder="1"/>
    <xf numFmtId="0" fontId="42" fillId="0" borderId="1" xfId="0" applyFont="1" applyBorder="1"/>
    <xf numFmtId="0" fontId="41" fillId="0" borderId="1" xfId="0" applyFont="1" applyBorder="1" applyAlignment="1">
      <alignment horizontal="center"/>
    </xf>
    <xf numFmtId="0" fontId="41" fillId="2" borderId="1" xfId="0" applyFont="1" applyFill="1" applyBorder="1" applyAlignment="1">
      <alignment horizontal="left"/>
    </xf>
    <xf numFmtId="0" fontId="43" fillId="0" borderId="1" xfId="0" applyFont="1" applyBorder="1" applyAlignment="1">
      <alignment vertical="center"/>
    </xf>
    <xf numFmtId="0" fontId="41" fillId="0" borderId="1" xfId="0" applyFont="1" applyBorder="1" applyAlignment="1">
      <alignment horizontal="left"/>
    </xf>
    <xf numFmtId="0" fontId="41" fillId="2" borderId="1" xfId="0" applyFont="1" applyFill="1" applyBorder="1"/>
    <xf numFmtId="0" fontId="41" fillId="2" borderId="1" xfId="0" applyFont="1" applyFill="1" applyBorder="1" applyAlignment="1">
      <alignment horizontal="center"/>
    </xf>
    <xf numFmtId="0" fontId="41" fillId="2" borderId="2" xfId="0" applyFont="1" applyFill="1" applyBorder="1" applyAlignment="1">
      <alignment horizontal="center"/>
    </xf>
    <xf numFmtId="0" fontId="43" fillId="2" borderId="2" xfId="0" applyFont="1" applyFill="1" applyBorder="1" applyAlignment="1">
      <alignment vertical="center"/>
    </xf>
    <xf numFmtId="0" fontId="29" fillId="0" borderId="9" xfId="0" applyFont="1" applyBorder="1" applyProtection="1"/>
    <xf numFmtId="0" fontId="6" fillId="0" borderId="9" xfId="0" applyFont="1" applyBorder="1" applyAlignment="1" applyProtection="1">
      <alignment horizontal="center"/>
    </xf>
    <xf numFmtId="0" fontId="18" fillId="2" borderId="9" xfId="0" applyFont="1" applyFill="1" applyBorder="1" applyAlignment="1" applyProtection="1">
      <alignment horizontal="center" vertical="center"/>
    </xf>
    <xf numFmtId="0" fontId="6" fillId="0" borderId="9" xfId="0" applyFont="1" applyBorder="1" applyProtection="1"/>
    <xf numFmtId="0" fontId="6" fillId="0" borderId="6" xfId="0" applyFont="1" applyBorder="1" applyProtection="1"/>
    <xf numFmtId="0" fontId="18" fillId="0" borderId="9" xfId="0" applyFont="1" applyBorder="1" applyProtection="1"/>
    <xf numFmtId="0" fontId="18" fillId="0" borderId="9" xfId="0" applyFont="1" applyBorder="1" applyAlignment="1" applyProtection="1">
      <alignment wrapText="1"/>
    </xf>
    <xf numFmtId="0" fontId="41" fillId="0" borderId="9" xfId="0" applyFont="1" applyBorder="1"/>
    <xf numFmtId="0" fontId="41" fillId="2" borderId="3" xfId="0" applyFont="1" applyFill="1" applyBorder="1" applyAlignment="1">
      <alignment horizontal="center"/>
    </xf>
    <xf numFmtId="0" fontId="41" fillId="2" borderId="3" xfId="0" applyFont="1" applyFill="1" applyBorder="1"/>
    <xf numFmtId="0" fontId="41" fillId="2" borderId="3" xfId="0" applyFont="1" applyFill="1" applyBorder="1" applyAlignment="1">
      <alignment horizontal="left"/>
    </xf>
    <xf numFmtId="0" fontId="43" fillId="2" borderId="3" xfId="0" applyFont="1" applyFill="1" applyBorder="1" applyAlignment="1">
      <alignment vertical="center"/>
    </xf>
    <xf numFmtId="0" fontId="41" fillId="2" borderId="39" xfId="0" applyFont="1" applyFill="1" applyBorder="1"/>
    <xf numFmtId="0" fontId="41" fillId="2" borderId="40" xfId="0" applyFont="1" applyFill="1" applyBorder="1"/>
    <xf numFmtId="0" fontId="41" fillId="2" borderId="41" xfId="0" applyFont="1" applyFill="1" applyBorder="1"/>
    <xf numFmtId="0" fontId="41" fillId="2" borderId="42" xfId="0" applyFont="1" applyFill="1" applyBorder="1"/>
    <xf numFmtId="0" fontId="41" fillId="2" borderId="43" xfId="0" applyFont="1" applyFill="1" applyBorder="1"/>
    <xf numFmtId="0" fontId="41" fillId="2" borderId="42" xfId="0" applyFont="1" applyFill="1" applyBorder="1" applyAlignment="1">
      <alignment horizontal="center"/>
    </xf>
    <xf numFmtId="0" fontId="41" fillId="2" borderId="44" xfId="0" applyFont="1" applyFill="1" applyBorder="1" applyAlignment="1">
      <alignment horizontal="center"/>
    </xf>
    <xf numFmtId="0" fontId="41" fillId="2" borderId="45" xfId="0" applyFont="1" applyFill="1" applyBorder="1" applyAlignment="1">
      <alignment horizontal="center"/>
    </xf>
    <xf numFmtId="0" fontId="41" fillId="2" borderId="45" xfId="0" applyFont="1" applyFill="1" applyBorder="1"/>
    <xf numFmtId="0" fontId="41" fillId="2" borderId="46" xfId="0" applyFont="1" applyFill="1" applyBorder="1" applyAlignment="1">
      <alignment horizontal="center"/>
    </xf>
    <xf numFmtId="0" fontId="43" fillId="2" borderId="46" xfId="0" applyFont="1" applyFill="1" applyBorder="1" applyAlignment="1">
      <alignment vertical="center"/>
    </xf>
    <xf numFmtId="0" fontId="41" fillId="2" borderId="47" xfId="0" applyFont="1" applyFill="1" applyBorder="1"/>
    <xf numFmtId="0" fontId="27" fillId="2" borderId="7" xfId="0" applyFont="1" applyFill="1" applyBorder="1" applyAlignment="1" applyProtection="1">
      <alignment horizontal="left" vertical="center"/>
    </xf>
    <xf numFmtId="0" fontId="12" fillId="2" borderId="9" xfId="0" applyFont="1" applyFill="1" applyBorder="1" applyAlignment="1" applyProtection="1">
      <alignment horizontal="center" vertical="center"/>
    </xf>
    <xf numFmtId="0" fontId="25" fillId="2" borderId="8" xfId="0" applyFont="1" applyFill="1" applyBorder="1" applyAlignment="1" applyProtection="1">
      <alignment horizontal="left" vertical="center"/>
    </xf>
    <xf numFmtId="0" fontId="25" fillId="2" borderId="6" xfId="0" applyFont="1" applyFill="1" applyBorder="1" applyAlignment="1" applyProtection="1">
      <alignment horizontal="left" vertical="center"/>
    </xf>
    <xf numFmtId="0" fontId="0" fillId="0" borderId="4" xfId="0" applyBorder="1" applyProtection="1"/>
    <xf numFmtId="0" fontId="0" fillId="0" borderId="5" xfId="0" applyBorder="1" applyProtection="1"/>
    <xf numFmtId="0" fontId="45" fillId="13" borderId="0" xfId="0" applyFont="1" applyFill="1" applyBorder="1" applyProtection="1"/>
    <xf numFmtId="0" fontId="45" fillId="13" borderId="31" xfId="0" applyFont="1" applyFill="1" applyBorder="1" applyProtection="1"/>
    <xf numFmtId="0" fontId="45" fillId="13" borderId="0" xfId="0" applyFont="1" applyFill="1" applyBorder="1" applyAlignment="1" applyProtection="1">
      <alignment wrapText="1"/>
    </xf>
    <xf numFmtId="0" fontId="11" fillId="0" borderId="2" xfId="0" applyFont="1" applyBorder="1" applyAlignment="1" applyProtection="1">
      <alignment vertical="center"/>
    </xf>
    <xf numFmtId="0" fontId="6" fillId="0" borderId="3" xfId="0" applyFont="1" applyBorder="1" applyAlignment="1" applyProtection="1">
      <alignment wrapText="1"/>
    </xf>
    <xf numFmtId="0" fontId="37" fillId="2" borderId="1" xfId="0" applyFont="1" applyFill="1" applyBorder="1"/>
    <xf numFmtId="0" fontId="48" fillId="2" borderId="2" xfId="0" applyFont="1" applyFill="1" applyBorder="1"/>
    <xf numFmtId="0" fontId="48" fillId="2" borderId="3" xfId="0" applyFont="1" applyFill="1" applyBorder="1"/>
    <xf numFmtId="0" fontId="48" fillId="2" borderId="1" xfId="0" applyFont="1" applyFill="1" applyBorder="1"/>
    <xf numFmtId="0" fontId="45" fillId="13" borderId="32" xfId="0" applyFont="1" applyFill="1" applyBorder="1" applyAlignment="1" applyProtection="1">
      <alignment vertical="center"/>
    </xf>
    <xf numFmtId="0" fontId="45" fillId="13" borderId="0" xfId="0" applyFont="1" applyFill="1" applyBorder="1" applyAlignment="1" applyProtection="1">
      <alignment vertical="center"/>
    </xf>
    <xf numFmtId="0" fontId="12" fillId="2" borderId="1" xfId="0" applyFont="1" applyFill="1" applyBorder="1" applyAlignment="1" applyProtection="1">
      <alignment horizontal="left"/>
    </xf>
    <xf numFmtId="0" fontId="29" fillId="0" borderId="9" xfId="0" applyFont="1" applyBorder="1" applyAlignment="1">
      <alignment horizontal="center"/>
    </xf>
    <xf numFmtId="0" fontId="49" fillId="2" borderId="1" xfId="0" applyFont="1" applyFill="1" applyBorder="1" applyAlignment="1">
      <alignment horizontal="center"/>
    </xf>
    <xf numFmtId="0" fontId="17" fillId="2" borderId="1" xfId="0" applyFont="1" applyFill="1" applyBorder="1"/>
    <xf numFmtId="0" fontId="17" fillId="2" borderId="1" xfId="0" applyFont="1" applyFill="1" applyBorder="1" applyAlignment="1">
      <alignment horizontal="center"/>
    </xf>
    <xf numFmtId="0" fontId="37" fillId="0" borderId="1" xfId="0" applyFont="1" applyBorder="1"/>
    <xf numFmtId="0" fontId="37" fillId="0" borderId="4" xfId="0" applyFont="1" applyBorder="1"/>
    <xf numFmtId="0" fontId="37" fillId="0" borderId="2" xfId="0" applyFont="1" applyBorder="1" applyAlignment="1">
      <alignment horizontal="center"/>
    </xf>
    <xf numFmtId="0" fontId="50" fillId="0" borderId="3" xfId="0" applyFont="1" applyBorder="1"/>
    <xf numFmtId="0" fontId="12" fillId="0" borderId="17" xfId="0" applyFont="1" applyBorder="1" applyProtection="1"/>
    <xf numFmtId="0" fontId="51" fillId="0" borderId="1" xfId="0" applyFont="1" applyBorder="1" applyProtection="1"/>
    <xf numFmtId="0" fontId="51" fillId="0" borderId="1" xfId="0" applyFont="1" applyBorder="1" applyAlignment="1" applyProtection="1">
      <alignment wrapText="1"/>
    </xf>
    <xf numFmtId="0" fontId="12" fillId="0" borderId="9" xfId="0" applyFont="1" applyBorder="1" applyProtection="1"/>
    <xf numFmtId="0" fontId="12" fillId="0" borderId="9" xfId="0" applyFont="1" applyBorder="1" applyAlignment="1" applyProtection="1">
      <alignment wrapText="1"/>
    </xf>
    <xf numFmtId="0" fontId="12" fillId="0" borderId="1" xfId="0" applyFont="1" applyBorder="1" applyProtection="1"/>
    <xf numFmtId="0" fontId="12" fillId="0" borderId="1" xfId="0" applyFont="1" applyBorder="1" applyAlignment="1" applyProtection="1">
      <alignment wrapText="1"/>
    </xf>
    <xf numFmtId="0" fontId="51" fillId="0" borderId="9" xfId="0" applyFont="1" applyBorder="1" applyProtection="1"/>
    <xf numFmtId="0" fontId="51" fillId="0" borderId="9" xfId="0" applyFont="1" applyBorder="1" applyAlignment="1" applyProtection="1">
      <alignment wrapText="1"/>
    </xf>
    <xf numFmtId="0" fontId="52" fillId="10" borderId="48" xfId="0" applyFont="1" applyFill="1" applyBorder="1" applyAlignment="1" applyProtection="1">
      <alignment horizontal="center" vertical="center"/>
    </xf>
    <xf numFmtId="0" fontId="52" fillId="10" borderId="49" xfId="0" applyFont="1" applyFill="1" applyBorder="1" applyAlignment="1" applyProtection="1">
      <alignment horizontal="center" vertical="center" wrapText="1"/>
    </xf>
    <xf numFmtId="0" fontId="12" fillId="11" borderId="29" xfId="0" applyFont="1" applyFill="1" applyBorder="1" applyAlignment="1">
      <alignment vertical="center"/>
      <extLst>
        <ext xmlns:xfpb="http://schemas.microsoft.com/office/spreadsheetml/2022/featurepropertybag" uri="{C7286773-470A-42A8-94C5-96B5CB345126}">
          <xfpb:xfComplement i="0"/>
        </ext>
      </extLst>
    </xf>
    <xf numFmtId="0" fontId="53" fillId="4" borderId="1" xfId="0" applyFont="1" applyFill="1" applyBorder="1" applyAlignment="1">
      <alignment horizontal="center" vertical="center"/>
    </xf>
    <xf numFmtId="0" fontId="53" fillId="8" borderId="1" xfId="0" applyFont="1" applyFill="1" applyBorder="1" applyAlignment="1">
      <alignment horizontal="center" vertical="center"/>
    </xf>
    <xf numFmtId="0" fontId="53" fillId="3" borderId="1" xfId="0" applyFont="1" applyFill="1" applyBorder="1" applyAlignment="1">
      <alignment horizontal="center" vertical="center"/>
    </xf>
    <xf numFmtId="0" fontId="53" fillId="6" borderId="1" xfId="0" applyFont="1" applyFill="1" applyBorder="1" applyAlignment="1">
      <alignment horizontal="center" vertical="center"/>
    </xf>
    <xf numFmtId="0" fontId="53" fillId="5" borderId="1" xfId="0" applyFont="1" applyFill="1" applyBorder="1" applyAlignment="1">
      <alignment horizontal="center" vertical="center"/>
    </xf>
    <xf numFmtId="0" fontId="53" fillId="4" borderId="1" xfId="0" applyFont="1" applyFill="1" applyBorder="1" applyAlignment="1">
      <alignment horizontal="center" vertical="center"/>
    </xf>
    <xf numFmtId="0" fontId="53" fillId="7" borderId="1" xfId="0" applyFont="1" applyFill="1" applyBorder="1" applyAlignment="1">
      <alignment horizontal="center" vertical="center"/>
    </xf>
    <xf numFmtId="0" fontId="0" fillId="0" borderId="1" xfId="0" applyBorder="1" applyAlignment="1">
      <alignment vertical="center"/>
    </xf>
    <xf numFmtId="0" fontId="0" fillId="0" borderId="4" xfId="0" applyFont="1" applyBorder="1"/>
    <xf numFmtId="0" fontId="38" fillId="0" borderId="9" xfId="0" applyFont="1" applyBorder="1"/>
    <xf numFmtId="0" fontId="21" fillId="4"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6" borderId="1" xfId="0" applyFont="1" applyFill="1" applyBorder="1" applyAlignment="1">
      <alignment horizontal="center" vertical="center"/>
    </xf>
    <xf numFmtId="0" fontId="21" fillId="8" borderId="1" xfId="0" applyFont="1" applyFill="1" applyBorder="1" applyAlignment="1">
      <alignment horizontal="center" vertical="center"/>
    </xf>
    <xf numFmtId="0" fontId="21" fillId="3" borderId="1" xfId="0" applyFont="1" applyFill="1" applyBorder="1" applyAlignment="1">
      <alignment horizontal="center" vertical="center"/>
    </xf>
    <xf numFmtId="0" fontId="41" fillId="2" borderId="2" xfId="0" applyFont="1" applyFill="1" applyBorder="1"/>
    <xf numFmtId="0" fontId="17" fillId="2" borderId="9" xfId="0" applyFont="1" applyFill="1" applyBorder="1" applyAlignment="1">
      <alignment horizontal="center"/>
    </xf>
    <xf numFmtId="0" fontId="41" fillId="2" borderId="9" xfId="0" applyFont="1" applyFill="1" applyBorder="1"/>
    <xf numFmtId="0" fontId="41" fillId="2" borderId="17" xfId="0" applyFont="1" applyFill="1" applyBorder="1"/>
    <xf numFmtId="0" fontId="36" fillId="2" borderId="17" xfId="0" applyFont="1" applyFill="1" applyBorder="1" applyAlignment="1" applyProtection="1">
      <alignment vertical="center"/>
    </xf>
    <xf numFmtId="0" fontId="54" fillId="0" borderId="0" xfId="0" applyFont="1" applyAlignment="1">
      <alignment horizontal="left" vertical="center" readingOrder="1"/>
    </xf>
    <xf numFmtId="0" fontId="55" fillId="0" borderId="1" xfId="0" applyFont="1" applyBorder="1"/>
    <xf numFmtId="0" fontId="41" fillId="2" borderId="4" xfId="0" applyFont="1" applyFill="1" applyBorder="1" applyAlignment="1">
      <alignment horizontal="center"/>
    </xf>
    <xf numFmtId="0" fontId="41" fillId="2" borderId="4" xfId="0" applyFont="1" applyFill="1" applyBorder="1"/>
    <xf numFmtId="0" fontId="17" fillId="2" borderId="17" xfId="0" applyFont="1" applyFill="1" applyBorder="1" applyAlignment="1" applyProtection="1">
      <alignment horizontal="left"/>
    </xf>
    <xf numFmtId="0" fontId="17" fillId="2" borderId="17" xfId="0" applyFont="1" applyFill="1" applyBorder="1" applyAlignment="1" applyProtection="1">
      <alignment horizontal="center" wrapText="1"/>
    </xf>
    <xf numFmtId="0" fontId="17" fillId="2" borderId="17" xfId="0" applyFont="1" applyFill="1" applyBorder="1" applyAlignment="1">
      <alignment horizontal="left"/>
    </xf>
    <xf numFmtId="0" fontId="17" fillId="2" borderId="17" xfId="0" applyFont="1" applyFill="1" applyBorder="1" applyAlignment="1">
      <alignment horizontal="center"/>
    </xf>
    <xf numFmtId="0" fontId="12" fillId="11" borderId="51" xfId="0" applyFont="1" applyFill="1" applyBorder="1" applyAlignment="1" applyProtection="1">
      <alignment vertical="center"/>
      <extLst>
        <ext xmlns:xfpb="http://schemas.microsoft.com/office/spreadsheetml/2022/featurepropertybag" uri="{C7286773-470A-42A8-94C5-96B5CB345126}">
          <xfpb:xfComplement i="0"/>
        </ext>
      </extLst>
    </xf>
    <xf numFmtId="0" fontId="30" fillId="11" borderId="52" xfId="0" applyFont="1" applyFill="1" applyBorder="1" applyAlignment="1" applyProtection="1">
      <alignment horizontal="center"/>
    </xf>
    <xf numFmtId="0" fontId="12" fillId="11" borderId="53" xfId="0" applyFont="1" applyFill="1" applyBorder="1" applyAlignment="1" applyProtection="1">
      <alignment horizontal="left"/>
    </xf>
    <xf numFmtId="0" fontId="31" fillId="0" borderId="3" xfId="0" applyFont="1" applyBorder="1" applyProtection="1"/>
    <xf numFmtId="0" fontId="31" fillId="2" borderId="3" xfId="0" applyFont="1" applyFill="1" applyBorder="1" applyProtection="1"/>
    <xf numFmtId="0" fontId="10" fillId="2" borderId="12" xfId="0" applyFont="1" applyFill="1" applyBorder="1" applyProtection="1"/>
    <xf numFmtId="0" fontId="10" fillId="2" borderId="3" xfId="0" applyFont="1" applyFill="1" applyBorder="1" applyProtection="1"/>
    <xf numFmtId="0" fontId="12" fillId="0" borderId="1" xfId="0" applyFont="1" applyBorder="1" applyAlignment="1" applyProtection="1">
      <alignment horizontal="center"/>
      <protection locked="0"/>
    </xf>
    <xf numFmtId="0" fontId="30" fillId="0" borderId="1" xfId="0" applyFont="1" applyFill="1" applyBorder="1" applyAlignment="1" applyProtection="1">
      <alignment horizontal="center"/>
    </xf>
    <xf numFmtId="0" fontId="9" fillId="4" borderId="1" xfId="0" applyFont="1" applyFill="1" applyBorder="1" applyAlignment="1" applyProtection="1">
      <alignment horizontal="center" vertical="center"/>
    </xf>
    <xf numFmtId="0" fontId="12" fillId="0" borderId="4" xfId="0" applyFont="1" applyBorder="1" applyProtection="1"/>
    <xf numFmtId="0" fontId="56" fillId="0" borderId="1" xfId="0" applyFont="1" applyBorder="1" applyProtection="1"/>
    <xf numFmtId="0" fontId="12" fillId="0" borderId="2" xfId="0" applyFont="1" applyBorder="1" applyProtection="1"/>
    <xf numFmtId="0" fontId="52" fillId="10" borderId="17" xfId="0" applyFont="1" applyFill="1" applyBorder="1" applyAlignment="1" applyProtection="1">
      <alignment horizontal="center" vertical="center"/>
    </xf>
    <xf numFmtId="0" fontId="12" fillId="0" borderId="3" xfId="0" applyFont="1" applyBorder="1" applyProtection="1"/>
    <xf numFmtId="0" fontId="12" fillId="0" borderId="1" xfId="0" applyFont="1" applyBorder="1" applyAlignment="1">
      <alignment vertical="center"/>
    </xf>
    <xf numFmtId="0" fontId="12" fillId="0" borderId="3" xfId="0" applyFont="1" applyBorder="1" applyAlignment="1">
      <alignment vertical="center"/>
    </xf>
    <xf numFmtId="9" fontId="12" fillId="0" borderId="1" xfId="0" applyNumberFormat="1" applyFont="1" applyBorder="1" applyAlignment="1">
      <alignment vertical="center"/>
    </xf>
    <xf numFmtId="0" fontId="12" fillId="0" borderId="2" xfId="0" applyFont="1" applyBorder="1" applyAlignment="1">
      <alignment vertical="center"/>
    </xf>
    <xf numFmtId="0" fontId="57" fillId="0" borderId="1" xfId="0" applyFont="1" applyBorder="1" applyAlignment="1">
      <alignment vertical="center"/>
    </xf>
    <xf numFmtId="9" fontId="57" fillId="0" borderId="1" xfId="0" applyNumberFormat="1" applyFont="1" applyBorder="1" applyAlignment="1">
      <alignment vertical="center"/>
    </xf>
    <xf numFmtId="9" fontId="57" fillId="0" borderId="2" xfId="0" applyNumberFormat="1" applyFont="1" applyBorder="1" applyAlignment="1">
      <alignment vertical="center"/>
    </xf>
    <xf numFmtId="0" fontId="58" fillId="0" borderId="1" xfId="0" applyFont="1" applyBorder="1" applyAlignment="1">
      <alignment vertical="center"/>
    </xf>
    <xf numFmtId="0" fontId="57" fillId="0" borderId="9" xfId="0" applyFont="1" applyBorder="1" applyAlignment="1">
      <alignment vertical="center"/>
    </xf>
    <xf numFmtId="0" fontId="57" fillId="0" borderId="2" xfId="0" applyFont="1" applyBorder="1" applyAlignment="1">
      <alignment vertical="center"/>
    </xf>
    <xf numFmtId="0" fontId="12" fillId="0" borderId="1" xfId="0" applyFont="1" applyBorder="1"/>
    <xf numFmtId="0" fontId="59" fillId="0" borderId="1" xfId="0" applyFont="1" applyBorder="1"/>
    <xf numFmtId="0" fontId="60" fillId="0" borderId="1" xfId="0" applyFont="1" applyBorder="1"/>
    <xf numFmtId="0" fontId="61" fillId="2" borderId="4" xfId="0" applyFont="1" applyFill="1" applyBorder="1" applyAlignment="1">
      <alignment horizontal="left" indent="1"/>
    </xf>
    <xf numFmtId="0" fontId="61" fillId="2" borderId="5" xfId="0" applyFont="1" applyFill="1" applyBorder="1" applyAlignment="1">
      <alignment horizontal="left" indent="1"/>
    </xf>
    <xf numFmtId="0" fontId="17" fillId="2" borderId="38" xfId="0" applyFont="1" applyFill="1" applyBorder="1" applyAlignment="1">
      <alignment horizontal="left"/>
    </xf>
    <xf numFmtId="0" fontId="29" fillId="0" borderId="9" xfId="0" applyFont="1" applyBorder="1" applyAlignment="1" applyProtection="1">
      <alignment horizontal="center" vertical="center" wrapText="1"/>
    </xf>
    <xf numFmtId="0" fontId="29" fillId="0" borderId="9" xfId="0" applyFont="1" applyBorder="1" applyAlignment="1">
      <alignment horizontal="center"/>
    </xf>
    <xf numFmtId="0" fontId="56" fillId="0" borderId="2" xfId="0" applyFont="1" applyBorder="1" applyProtection="1"/>
    <xf numFmtId="0" fontId="26" fillId="2" borderId="3" xfId="0" applyFont="1" applyFill="1" applyBorder="1" applyAlignment="1" applyProtection="1">
      <alignment horizontal="center" wrapText="1"/>
    </xf>
    <xf numFmtId="0" fontId="6" fillId="0" borderId="7" xfId="0" applyFont="1" applyBorder="1" applyProtection="1"/>
    <xf numFmtId="0" fontId="12" fillId="0" borderId="50" xfId="0" applyFont="1" applyBorder="1" applyProtection="1"/>
    <xf numFmtId="0" fontId="12" fillId="0" borderId="3" xfId="0" applyFont="1" applyBorder="1" applyAlignment="1" applyProtection="1">
      <alignment horizontal="center"/>
    </xf>
    <xf numFmtId="0" fontId="2" fillId="0" borderId="2" xfId="0" applyFont="1" applyBorder="1" applyProtection="1"/>
    <xf numFmtId="0" fontId="62" fillId="0" borderId="25" xfId="0" applyFont="1" applyBorder="1" applyAlignment="1" applyProtection="1">
      <alignment wrapText="1"/>
    </xf>
    <xf numFmtId="0" fontId="2" fillId="0" borderId="12" xfId="0" applyFont="1" applyBorder="1" applyProtection="1"/>
    <xf numFmtId="0" fontId="12" fillId="0" borderId="25" xfId="0" applyFont="1" applyBorder="1" applyAlignment="1" applyProtection="1">
      <alignment horizontal="center"/>
    </xf>
    <xf numFmtId="0" fontId="20" fillId="2" borderId="25" xfId="0" applyFont="1" applyFill="1" applyBorder="1" applyAlignment="1" applyProtection="1">
      <alignment horizontal="center" wrapText="1"/>
    </xf>
    <xf numFmtId="0" fontId="20" fillId="2" borderId="10" xfId="0" applyFont="1" applyFill="1" applyBorder="1" applyAlignment="1" applyProtection="1">
      <alignment horizontal="center" wrapText="1"/>
    </xf>
    <xf numFmtId="0" fontId="61" fillId="2" borderId="13" xfId="0" applyFont="1" applyFill="1" applyBorder="1" applyAlignment="1">
      <alignment horizontal="left" indent="1"/>
    </xf>
    <xf numFmtId="0" fontId="62" fillId="0" borderId="24" xfId="0" applyFont="1" applyBorder="1" applyAlignment="1" applyProtection="1">
      <alignment wrapText="1"/>
    </xf>
    <xf numFmtId="0" fontId="12" fillId="2" borderId="25" xfId="0" applyFont="1" applyFill="1" applyBorder="1" applyAlignment="1" applyProtection="1">
      <alignment horizontal="left"/>
    </xf>
    <xf numFmtId="0" fontId="12" fillId="2" borderId="11" xfId="0" applyFont="1" applyFill="1" applyBorder="1" applyAlignment="1">
      <alignment horizontal="left" indent="1"/>
    </xf>
    <xf numFmtId="0" fontId="29" fillId="0" borderId="4" xfId="0" applyFont="1" applyBorder="1" applyAlignment="1">
      <alignment vertical="top"/>
    </xf>
    <xf numFmtId="0" fontId="44" fillId="13" borderId="0" xfId="0" applyFont="1" applyFill="1" applyBorder="1" applyAlignment="1" applyProtection="1">
      <alignment horizontal="left" vertical="center" wrapText="1"/>
    </xf>
    <xf numFmtId="0" fontId="44" fillId="13" borderId="31" xfId="0" applyFont="1" applyFill="1" applyBorder="1" applyAlignment="1" applyProtection="1">
      <alignment horizontal="left" vertical="center" wrapText="1"/>
    </xf>
    <xf numFmtId="0" fontId="44" fillId="13" borderId="0" xfId="0" applyFont="1" applyFill="1" applyBorder="1" applyAlignment="1" applyProtection="1">
      <alignment vertical="center"/>
    </xf>
    <xf numFmtId="0" fontId="45" fillId="13" borderId="0" xfId="0" applyFont="1" applyFill="1" applyBorder="1" applyAlignment="1" applyProtection="1">
      <alignment vertical="center" wrapText="1"/>
    </xf>
    <xf numFmtId="0" fontId="45" fillId="13" borderId="31" xfId="0" applyFont="1" applyFill="1" applyBorder="1" applyAlignment="1" applyProtection="1">
      <alignment vertical="center" wrapText="1"/>
    </xf>
    <xf numFmtId="0" fontId="45" fillId="13" borderId="0" xfId="0" applyFont="1" applyFill="1" applyBorder="1" applyAlignment="1" applyProtection="1">
      <alignment horizontal="left" vertical="center" wrapText="1"/>
    </xf>
    <xf numFmtId="0" fontId="45" fillId="13" borderId="31" xfId="0" applyFont="1" applyFill="1" applyBorder="1" applyAlignment="1" applyProtection="1">
      <alignment horizontal="left" vertical="center" wrapText="1"/>
    </xf>
    <xf numFmtId="0" fontId="45" fillId="13" borderId="0" xfId="0" applyFont="1" applyFill="1" applyAlignment="1">
      <alignment horizontal="left" vertical="center" wrapText="1"/>
    </xf>
    <xf numFmtId="0" fontId="45" fillId="13" borderId="31" xfId="0" applyFont="1" applyFill="1" applyBorder="1" applyAlignment="1">
      <alignment horizontal="left" vertical="center" wrapText="1"/>
    </xf>
    <xf numFmtId="0" fontId="46" fillId="12" borderId="36" xfId="1" applyFont="1" applyFill="1" applyBorder="1" applyAlignment="1" applyProtection="1">
      <alignment horizontal="left" vertical="center" wrapText="1" indent="1"/>
    </xf>
    <xf numFmtId="0" fontId="46" fillId="12" borderId="32" xfId="1" applyFont="1" applyFill="1" applyBorder="1" applyAlignment="1" applyProtection="1">
      <alignment horizontal="left" vertical="center" wrapText="1" indent="1"/>
    </xf>
    <xf numFmtId="0" fontId="46" fillId="12" borderId="33" xfId="1" applyFont="1" applyFill="1" applyBorder="1" applyAlignment="1" applyProtection="1">
      <alignment horizontal="left" vertical="center" wrapText="1" indent="1"/>
    </xf>
    <xf numFmtId="0" fontId="45" fillId="13" borderId="32" xfId="0" applyFont="1" applyFill="1" applyBorder="1" applyAlignment="1" applyProtection="1">
      <alignment vertical="center" wrapText="1"/>
    </xf>
    <xf numFmtId="0" fontId="45" fillId="13" borderId="33" xfId="0" applyFont="1" applyFill="1" applyBorder="1" applyAlignment="1" applyProtection="1">
      <alignment vertical="center" wrapText="1"/>
    </xf>
    <xf numFmtId="0" fontId="44" fillId="13" borderId="32" xfId="0" applyFont="1" applyFill="1" applyBorder="1" applyAlignment="1" applyProtection="1">
      <alignment vertical="center"/>
    </xf>
    <xf numFmtId="0" fontId="12" fillId="0" borderId="38" xfId="0" applyFont="1" applyBorder="1" applyAlignment="1" applyProtection="1">
      <alignment horizontal="center" wrapText="1"/>
    </xf>
    <xf numFmtId="0" fontId="29" fillId="0" borderId="9" xfId="0" applyFont="1" applyBorder="1" applyAlignment="1" applyProtection="1">
      <alignment horizontal="center" vertical="center" wrapText="1"/>
    </xf>
    <xf numFmtId="0" fontId="29" fillId="0" borderId="10" xfId="0" applyFont="1" applyBorder="1" applyAlignment="1" applyProtection="1">
      <alignment horizontal="center" vertical="center" wrapText="1"/>
    </xf>
    <xf numFmtId="0" fontId="29" fillId="0" borderId="3" xfId="0" applyFont="1" applyBorder="1" applyAlignment="1" applyProtection="1">
      <alignment horizontal="center" vertical="center" wrapText="1"/>
    </xf>
    <xf numFmtId="0" fontId="29" fillId="0" borderId="11" xfId="0" applyFont="1" applyBorder="1" applyAlignment="1" applyProtection="1">
      <alignment horizontal="center" vertical="center" wrapText="1"/>
    </xf>
    <xf numFmtId="0" fontId="29" fillId="0" borderId="13" xfId="0" applyFont="1" applyBorder="1" applyAlignment="1" applyProtection="1">
      <alignment horizontal="center" vertical="center" wrapText="1"/>
    </xf>
    <xf numFmtId="0" fontId="29" fillId="0" borderId="12" xfId="0" applyFont="1" applyBorder="1" applyAlignment="1" applyProtection="1">
      <alignment horizontal="center" vertical="center" wrapText="1"/>
    </xf>
    <xf numFmtId="0" fontId="20" fillId="11" borderId="38" xfId="0" applyFont="1" applyFill="1" applyBorder="1" applyAlignment="1">
      <alignment horizontal="center" vertical="center"/>
    </xf>
    <xf numFmtId="0" fontId="20" fillId="0" borderId="38" xfId="0" applyFont="1" applyFill="1" applyBorder="1" applyAlignment="1">
      <alignment horizontal="center" vertical="center"/>
    </xf>
    <xf numFmtId="0" fontId="12" fillId="11" borderId="15" xfId="0" applyFont="1" applyFill="1" applyBorder="1" applyAlignment="1" applyProtection="1">
      <alignment horizontal="center" vertical="center"/>
    </xf>
    <xf numFmtId="0" fontId="12" fillId="11" borderId="16" xfId="0" applyFont="1" applyFill="1" applyBorder="1" applyAlignment="1" applyProtection="1">
      <alignment horizontal="center" vertical="center"/>
    </xf>
    <xf numFmtId="0" fontId="9" fillId="4" borderId="5" xfId="0" applyFont="1" applyFill="1" applyBorder="1" applyAlignment="1" applyProtection="1">
      <alignment vertical="center"/>
    </xf>
    <xf numFmtId="0" fontId="9" fillId="4" borderId="2" xfId="0" applyFont="1" applyFill="1" applyBorder="1" applyAlignment="1" applyProtection="1">
      <alignment vertical="center"/>
    </xf>
    <xf numFmtId="0" fontId="12" fillId="11" borderId="53" xfId="0" applyFont="1" applyFill="1" applyBorder="1" applyAlignment="1" applyProtection="1">
      <alignment horizontal="left"/>
    </xf>
    <xf numFmtId="0" fontId="12" fillId="2" borderId="1" xfId="0" applyFont="1" applyFill="1" applyBorder="1" applyProtection="1"/>
    <xf numFmtId="0" fontId="12" fillId="11" borderId="14" xfId="0" applyFont="1" applyFill="1" applyBorder="1" applyAlignment="1" applyProtection="1">
      <alignment horizontal="left"/>
    </xf>
    <xf numFmtId="0" fontId="13" fillId="6" borderId="5" xfId="0" applyFont="1" applyFill="1" applyBorder="1" applyAlignment="1" applyProtection="1">
      <alignment vertical="center"/>
    </xf>
    <xf numFmtId="0" fontId="13" fillId="6" borderId="2" xfId="0" applyFont="1" applyFill="1" applyBorder="1" applyAlignment="1" applyProtection="1">
      <alignment vertical="center"/>
    </xf>
    <xf numFmtId="0" fontId="12" fillId="2" borderId="11" xfId="0" applyFont="1" applyFill="1" applyBorder="1" applyProtection="1"/>
    <xf numFmtId="0" fontId="12" fillId="2" borderId="13" xfId="0" applyFont="1" applyFill="1" applyBorder="1" applyProtection="1"/>
    <xf numFmtId="0" fontId="12" fillId="2" borderId="12" xfId="0" applyFont="1" applyFill="1" applyBorder="1" applyProtection="1"/>
    <xf numFmtId="0" fontId="12" fillId="2" borderId="4" xfId="0" applyFont="1" applyFill="1" applyBorder="1" applyProtection="1"/>
    <xf numFmtId="0" fontId="12" fillId="2" borderId="5" xfId="0" applyFont="1" applyFill="1" applyBorder="1" applyProtection="1"/>
    <xf numFmtId="0" fontId="12" fillId="2" borderId="2" xfId="0" applyFont="1" applyFill="1" applyBorder="1" applyProtection="1"/>
    <xf numFmtId="0" fontId="12" fillId="2" borderId="4" xfId="0" applyFont="1" applyFill="1" applyBorder="1" applyAlignment="1" applyProtection="1">
      <alignment horizontal="left"/>
    </xf>
    <xf numFmtId="0" fontId="12" fillId="2" borderId="5" xfId="0" applyFont="1" applyFill="1" applyBorder="1" applyAlignment="1" applyProtection="1">
      <alignment horizontal="left"/>
    </xf>
    <xf numFmtId="0" fontId="12" fillId="2" borderId="2" xfId="0" applyFont="1" applyFill="1" applyBorder="1" applyAlignment="1" applyProtection="1">
      <alignment horizontal="left"/>
    </xf>
    <xf numFmtId="0" fontId="13" fillId="7" borderId="8" xfId="0" applyFont="1" applyFill="1" applyBorder="1" applyAlignment="1" applyProtection="1">
      <alignment vertical="center"/>
    </xf>
    <xf numFmtId="0" fontId="13" fillId="7" borderId="6" xfId="0" applyFont="1" applyFill="1" applyBorder="1" applyAlignment="1" applyProtection="1">
      <alignment vertical="center"/>
    </xf>
    <xf numFmtId="0" fontId="9" fillId="5" borderId="8" xfId="0" applyFont="1" applyFill="1" applyBorder="1" applyAlignment="1" applyProtection="1">
      <alignment vertical="center"/>
    </xf>
    <xf numFmtId="0" fontId="9" fillId="5" borderId="6" xfId="0" applyFont="1" applyFill="1" applyBorder="1" applyAlignment="1" applyProtection="1">
      <alignment vertical="center"/>
    </xf>
    <xf numFmtId="0" fontId="12" fillId="2" borderId="1" xfId="0" applyFont="1" applyFill="1" applyBorder="1" applyAlignment="1" applyProtection="1">
      <alignment horizontal="left"/>
    </xf>
    <xf numFmtId="0" fontId="9" fillId="10" borderId="17" xfId="0" applyFont="1" applyFill="1" applyBorder="1" applyAlignment="1" applyProtection="1">
      <alignment horizontal="left" vertical="center"/>
    </xf>
    <xf numFmtId="0" fontId="12" fillId="0" borderId="1" xfId="0" applyFont="1" applyBorder="1" applyAlignment="1" applyProtection="1">
      <alignment horizontal="left"/>
    </xf>
    <xf numFmtId="0" fontId="12" fillId="0" borderId="1" xfId="0" quotePrefix="1" applyFont="1" applyBorder="1" applyAlignment="1" applyProtection="1">
      <alignment horizontal="left"/>
    </xf>
    <xf numFmtId="0" fontId="13" fillId="8" borderId="5" xfId="0" applyFont="1" applyFill="1" applyBorder="1" applyAlignment="1" applyProtection="1">
      <alignment vertical="center"/>
    </xf>
    <xf numFmtId="0" fontId="13" fillId="8" borderId="2" xfId="0" applyFont="1" applyFill="1" applyBorder="1" applyAlignment="1" applyProtection="1">
      <alignment vertical="center"/>
    </xf>
    <xf numFmtId="0" fontId="13" fillId="3" borderId="5" xfId="0" applyFont="1" applyFill="1" applyBorder="1" applyAlignment="1" applyProtection="1">
      <alignment vertical="center"/>
    </xf>
    <xf numFmtId="0" fontId="13" fillId="3" borderId="2" xfId="0" applyFont="1" applyFill="1" applyBorder="1" applyAlignment="1" applyProtection="1">
      <alignment vertical="center"/>
    </xf>
    <xf numFmtId="0" fontId="12" fillId="0" borderId="4" xfId="0" applyFont="1" applyBorder="1" applyAlignment="1" applyProtection="1">
      <alignment horizontal="left"/>
    </xf>
    <xf numFmtId="0" fontId="12" fillId="0" borderId="5" xfId="0" applyFont="1" applyBorder="1" applyAlignment="1" applyProtection="1">
      <alignment horizontal="left"/>
    </xf>
    <xf numFmtId="0" fontId="12" fillId="0" borderId="2" xfId="0" applyFont="1" applyBorder="1" applyAlignment="1" applyProtection="1">
      <alignment horizontal="left"/>
    </xf>
    <xf numFmtId="0" fontId="12" fillId="2" borderId="4" xfId="0" quotePrefix="1" applyFont="1" applyFill="1" applyBorder="1" applyAlignment="1" applyProtection="1">
      <alignment horizontal="left"/>
    </xf>
    <xf numFmtId="0" fontId="12" fillId="2" borderId="5" xfId="0" quotePrefix="1" applyFont="1" applyFill="1" applyBorder="1" applyAlignment="1" applyProtection="1">
      <alignment horizontal="left"/>
    </xf>
    <xf numFmtId="0" fontId="12" fillId="2" borderId="2" xfId="0" quotePrefix="1" applyFont="1" applyFill="1" applyBorder="1" applyAlignment="1" applyProtection="1">
      <alignment horizontal="left"/>
    </xf>
    <xf numFmtId="0" fontId="12" fillId="2" borderId="54" xfId="0" applyFont="1" applyFill="1" applyBorder="1" applyProtection="1"/>
    <xf numFmtId="0" fontId="12" fillId="2" borderId="55" xfId="0" applyFont="1" applyFill="1" applyBorder="1" applyProtection="1"/>
    <xf numFmtId="0" fontId="12" fillId="2" borderId="56" xfId="0" applyFont="1" applyFill="1" applyBorder="1" applyProtection="1"/>
    <xf numFmtId="0" fontId="16" fillId="9" borderId="5" xfId="0" applyFont="1" applyFill="1" applyBorder="1" applyAlignment="1" applyProtection="1">
      <alignment vertical="center"/>
    </xf>
    <xf numFmtId="0" fontId="16" fillId="9" borderId="2" xfId="0" applyFont="1" applyFill="1" applyBorder="1" applyAlignment="1" applyProtection="1">
      <alignment vertical="center"/>
    </xf>
    <xf numFmtId="0" fontId="24" fillId="10" borderId="50" xfId="0" applyFont="1" applyFill="1" applyBorder="1" applyAlignment="1">
      <alignment horizontal="center" vertical="center"/>
    </xf>
    <xf numFmtId="0" fontId="39" fillId="10" borderId="48" xfId="0" applyFont="1" applyFill="1" applyBorder="1" applyAlignment="1">
      <alignment horizontal="center" vertical="center"/>
    </xf>
    <xf numFmtId="0" fontId="39" fillId="10" borderId="49" xfId="0" applyFont="1" applyFill="1" applyBorder="1" applyAlignment="1">
      <alignment horizontal="center" vertical="center"/>
    </xf>
    <xf numFmtId="0" fontId="24" fillId="10" borderId="7" xfId="0" applyFont="1" applyFill="1" applyBorder="1" applyAlignment="1">
      <alignment horizontal="center" vertical="center"/>
    </xf>
    <xf numFmtId="0" fontId="39" fillId="10" borderId="8" xfId="0" applyFont="1" applyFill="1" applyBorder="1" applyAlignment="1">
      <alignment horizontal="center" vertical="center"/>
    </xf>
    <xf numFmtId="0" fontId="39" fillId="10" borderId="6" xfId="0" applyFont="1" applyFill="1" applyBorder="1" applyAlignment="1">
      <alignment horizontal="center" vertical="center"/>
    </xf>
    <xf numFmtId="0" fontId="32" fillId="2" borderId="17" xfId="0" applyFont="1" applyFill="1" applyBorder="1" applyAlignment="1" applyProtection="1">
      <alignment horizontal="center" vertical="center" wrapText="1"/>
    </xf>
    <xf numFmtId="0" fontId="36" fillId="2" borderId="17" xfId="0" applyFont="1" applyFill="1" applyBorder="1" applyAlignment="1" applyProtection="1">
      <alignment vertical="center"/>
    </xf>
  </cellXfs>
  <cellStyles count="2">
    <cellStyle name="Normal" xfId="0" builtinId="0"/>
    <cellStyle name="Normal 2" xfId="1" xr:uid="{0FDD12F9-7D82-4479-986C-BF932EF1EE17}"/>
  </cellStyles>
  <dxfs count="98">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s>
  <tableStyles count="0" defaultTableStyle="TableStyleMedium9" defaultPivotStyle="PivotStyleLight16"/>
  <colors>
    <mruColors>
      <color rgb="FF343434"/>
      <color rgb="FFD1E0A8"/>
      <color rgb="FF5F7228"/>
      <color rgb="FF46541F"/>
      <color rgb="FFC3C6BD"/>
      <color rgb="FFFF3F3F"/>
      <color rgb="FFFF5353"/>
      <color rgb="FFFF9F9F"/>
      <color rgb="FF000000"/>
      <color rgb="FF8D91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cap="all" baseline="0">
                <a:solidFill>
                  <a:srgbClr val="343434"/>
                </a:solidFill>
                <a:latin typeface="Bahnschrift Bold" panose="020B0502040204020203" pitchFamily="34" charset="0"/>
                <a:ea typeface="+mn-ea"/>
                <a:cs typeface="+mn-cs"/>
              </a:defRPr>
            </a:pPr>
            <a:r>
              <a:rPr lang="en-US" sz="1400" b="0" i="0" u="none" strike="noStrike" kern="1200" cap="none" spc="0" normalizeH="0" baseline="0">
                <a:solidFill>
                  <a:srgbClr val="343434"/>
                </a:solidFill>
                <a:latin typeface="Bahnschrift Bold" panose="020B0502040204020203" pitchFamily="34" charset="0"/>
              </a:rPr>
              <a:t>Total Anticipated Points Distribution</a:t>
            </a:r>
          </a:p>
        </c:rich>
      </c:tx>
      <c:overlay val="0"/>
      <c:spPr>
        <a:noFill/>
        <a:ln>
          <a:noFill/>
        </a:ln>
        <a:effectLst/>
      </c:spPr>
      <c:txPr>
        <a:bodyPr rot="0" spcFirstLastPara="1" vertOverflow="ellipsis" vert="horz" wrap="square" anchor="ctr" anchorCtr="1"/>
        <a:lstStyle/>
        <a:p>
          <a:pPr>
            <a:defRPr sz="1400" b="1" i="0" u="none" strike="noStrike" kern="1200" cap="all" baseline="0">
              <a:solidFill>
                <a:srgbClr val="343434"/>
              </a:solidFill>
              <a:latin typeface="Bahnschrift Bold" panose="020B0502040204020203" pitchFamily="34" charset="0"/>
              <a:ea typeface="+mn-ea"/>
              <a:cs typeface="+mn-cs"/>
            </a:defRPr>
          </a:pPr>
          <a:endParaRPr lang="en-US"/>
        </a:p>
      </c:txPr>
    </c:title>
    <c:autoTitleDeleted val="0"/>
    <c:plotArea>
      <c:layout/>
      <c:pieChart>
        <c:varyColors val="1"/>
        <c:ser>
          <c:idx val="0"/>
          <c:order val="0"/>
          <c:dPt>
            <c:idx val="0"/>
            <c:bubble3D val="0"/>
            <c:spPr>
              <a:solidFill>
                <a:srgbClr val="46541F"/>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655-4833-88D6-7557870AA7AB}"/>
              </c:ext>
            </c:extLst>
          </c:dPt>
          <c:dPt>
            <c:idx val="1"/>
            <c:bubble3D val="0"/>
            <c:spPr>
              <a:solidFill>
                <a:srgbClr val="5F722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655-4833-88D6-7557870AA7AB}"/>
              </c:ext>
            </c:extLst>
          </c:dPt>
          <c:dPt>
            <c:idx val="2"/>
            <c:bubble3D val="0"/>
            <c:spPr>
              <a:solidFill>
                <a:srgbClr val="D1E0A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655-4833-88D6-7557870AA7AB}"/>
              </c:ext>
            </c:extLst>
          </c:dPt>
          <c:dPt>
            <c:idx val="3"/>
            <c:bubble3D val="0"/>
            <c:spPr>
              <a:solidFill>
                <a:schemeClr val="accent3">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655-4833-88D6-7557870AA7AB}"/>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1655-4833-88D6-7557870AA7AB}"/>
                </c:ext>
              </c:extLst>
            </c:dLbl>
            <c:dLbl>
              <c:idx val="1"/>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1655-4833-88D6-7557870AA7AB}"/>
                </c:ext>
              </c:extLst>
            </c:dLbl>
            <c:dLbl>
              <c:idx val="2"/>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1655-4833-88D6-7557870AA7AB}"/>
                </c:ext>
              </c:extLst>
            </c:dLbl>
            <c:dLbl>
              <c:idx val="3"/>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9-1655-4833-88D6-7557870AA7AB}"/>
                </c:ext>
              </c:extLst>
            </c:dLbl>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Background!$I$1:$I$4</c:f>
              <c:strCache>
                <c:ptCount val="4"/>
                <c:pt idx="0">
                  <c:v>Yes</c:v>
                </c:pt>
                <c:pt idx="1">
                  <c:v>Maybe</c:v>
                </c:pt>
                <c:pt idx="2">
                  <c:v>No</c:v>
                </c:pt>
                <c:pt idx="3">
                  <c:v>Blank</c:v>
                </c:pt>
              </c:strCache>
            </c:strRef>
          </c:cat>
          <c:val>
            <c:numRef>
              <c:f>Background!$J$1:$J$4</c:f>
              <c:numCache>
                <c:formatCode>General</c:formatCode>
                <c:ptCount val="4"/>
                <c:pt idx="0">
                  <c:v>0</c:v>
                </c:pt>
                <c:pt idx="1">
                  <c:v>0</c:v>
                </c:pt>
                <c:pt idx="2">
                  <c:v>0</c:v>
                </c:pt>
                <c:pt idx="3">
                  <c:v>110</c:v>
                </c:pt>
              </c:numCache>
            </c:numRef>
          </c:val>
          <c:extLst>
            <c:ext xmlns:c16="http://schemas.microsoft.com/office/drawing/2014/chart" uri="{C3380CC4-5D6E-409C-BE32-E72D297353CC}">
              <c16:uniqueId val="{00000006-1655-4833-88D6-7557870AA7A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a:latin typeface="Bahnschrift Bold" panose="020B0502040204020203" pitchFamily="34" charset="0"/>
              </a:rPr>
              <a:t>Total Anticipated Points Distribution</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spPr>
            <a:solidFill>
              <a:schemeClr val="accent3"/>
            </a:solidFill>
            <a:ln>
              <a:noFill/>
            </a:ln>
            <a:effectLst/>
          </c:spPr>
          <c:invertIfNegative val="0"/>
          <c:dPt>
            <c:idx val="0"/>
            <c:invertIfNegative val="0"/>
            <c:bubble3D val="0"/>
            <c:spPr>
              <a:solidFill>
                <a:srgbClr val="46541F"/>
              </a:solidFill>
              <a:ln>
                <a:noFill/>
              </a:ln>
              <a:effectLst/>
            </c:spPr>
            <c:extLst>
              <c:ext xmlns:c16="http://schemas.microsoft.com/office/drawing/2014/chart" uri="{C3380CC4-5D6E-409C-BE32-E72D297353CC}">
                <c16:uniqueId val="{00000001-12B0-446D-AA6B-92279251BEE9}"/>
              </c:ext>
            </c:extLst>
          </c:dPt>
          <c:dPt>
            <c:idx val="1"/>
            <c:invertIfNegative val="0"/>
            <c:bubble3D val="0"/>
            <c:spPr>
              <a:solidFill>
                <a:srgbClr val="5F7228"/>
              </a:solidFill>
              <a:ln>
                <a:noFill/>
              </a:ln>
              <a:effectLst/>
            </c:spPr>
            <c:extLst>
              <c:ext xmlns:c16="http://schemas.microsoft.com/office/drawing/2014/chart" uri="{C3380CC4-5D6E-409C-BE32-E72D297353CC}">
                <c16:uniqueId val="{00000003-12B0-446D-AA6B-92279251BEE9}"/>
              </c:ext>
            </c:extLst>
          </c:dPt>
          <c:dPt>
            <c:idx val="2"/>
            <c:invertIfNegative val="0"/>
            <c:bubble3D val="0"/>
            <c:spPr>
              <a:solidFill>
                <a:srgbClr val="D1E0A8"/>
              </a:solidFill>
              <a:ln>
                <a:noFill/>
              </a:ln>
              <a:effectLst/>
            </c:spPr>
            <c:extLst>
              <c:ext xmlns:c16="http://schemas.microsoft.com/office/drawing/2014/chart" uri="{C3380CC4-5D6E-409C-BE32-E72D297353CC}">
                <c16:uniqueId val="{00000005-12B0-446D-AA6B-92279251BEE9}"/>
              </c:ext>
            </c:extLst>
          </c:dPt>
          <c:dPt>
            <c:idx val="3"/>
            <c:invertIfNegative val="0"/>
            <c:bubble3D val="0"/>
            <c:spPr>
              <a:solidFill>
                <a:srgbClr val="C3C6BD"/>
              </a:solidFill>
              <a:ln>
                <a:noFill/>
              </a:ln>
              <a:effectLst/>
            </c:spPr>
            <c:extLst>
              <c:ext xmlns:c16="http://schemas.microsoft.com/office/drawing/2014/chart" uri="{C3380CC4-5D6E-409C-BE32-E72D297353CC}">
                <c16:uniqueId val="{00000007-12B0-446D-AA6B-92279251BEE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43434"/>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Background!$I$1:$I$4</c:f>
              <c:strCache>
                <c:ptCount val="4"/>
                <c:pt idx="0">
                  <c:v>Yes</c:v>
                </c:pt>
                <c:pt idx="1">
                  <c:v>Maybe</c:v>
                </c:pt>
                <c:pt idx="2">
                  <c:v>No</c:v>
                </c:pt>
                <c:pt idx="3">
                  <c:v>Blank</c:v>
                </c:pt>
              </c:strCache>
            </c:strRef>
          </c:cat>
          <c:val>
            <c:numRef>
              <c:f>Background!$J$1:$J$4</c:f>
              <c:numCache>
                <c:formatCode>General</c:formatCode>
                <c:ptCount val="4"/>
                <c:pt idx="0">
                  <c:v>0</c:v>
                </c:pt>
                <c:pt idx="1">
                  <c:v>0</c:v>
                </c:pt>
                <c:pt idx="2">
                  <c:v>0</c:v>
                </c:pt>
                <c:pt idx="3">
                  <c:v>110</c:v>
                </c:pt>
              </c:numCache>
            </c:numRef>
          </c:val>
          <c:extLst>
            <c:ext xmlns:c16="http://schemas.microsoft.com/office/drawing/2014/chart" uri="{C3380CC4-5D6E-409C-BE32-E72D297353CC}">
              <c16:uniqueId val="{00000006-12B0-446D-AA6B-92279251BEE9}"/>
            </c:ext>
          </c:extLst>
        </c:ser>
        <c:dLbls>
          <c:showLegendKey val="0"/>
          <c:showVal val="0"/>
          <c:showCatName val="0"/>
          <c:showSerName val="0"/>
          <c:showPercent val="0"/>
          <c:showBubbleSize val="0"/>
        </c:dLbls>
        <c:gapWidth val="269"/>
        <c:overlap val="-58"/>
        <c:axId val="958692672"/>
        <c:axId val="958692192"/>
      </c:barChart>
      <c:valAx>
        <c:axId val="95869219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58692672"/>
        <c:crosses val="autoZero"/>
        <c:crossBetween val="between"/>
      </c:valAx>
      <c:catAx>
        <c:axId val="958692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58692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r>
              <a:rPr lang="en-US" sz="1400">
                <a:latin typeface="Bahnschrift Bold" panose="020B0502040204020203" pitchFamily="34" charset="0"/>
              </a:rPr>
              <a:t>Total Anticipated Points versus LEED Certification Levels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endParaRPr lang="en-US"/>
        </a:p>
      </c:txPr>
    </c:title>
    <c:autoTitleDeleted val="0"/>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289D-4FE5-8E2E-19C06C5C8B59}"/>
              </c:ext>
            </c:extLst>
          </c:dPt>
          <c:cat>
            <c:strRef>
              <c:f>Background!$I$9:$I$12</c:f>
              <c:strCache>
                <c:ptCount val="4"/>
                <c:pt idx="0">
                  <c:v>Total Anticipated Points</c:v>
                </c:pt>
                <c:pt idx="1">
                  <c:v>Certified Project</c:v>
                </c:pt>
                <c:pt idx="2">
                  <c:v>Platinum Project</c:v>
                </c:pt>
                <c:pt idx="3">
                  <c:v>Total Possible Points</c:v>
                </c:pt>
              </c:strCache>
            </c:strRef>
          </c:cat>
          <c:val>
            <c:numRef>
              <c:f>Background!$J$9:$J$12</c:f>
              <c:numCache>
                <c:formatCode>General</c:formatCode>
                <c:ptCount val="4"/>
                <c:pt idx="0">
                  <c:v>0</c:v>
                </c:pt>
                <c:pt idx="1">
                  <c:v>40</c:v>
                </c:pt>
                <c:pt idx="2">
                  <c:v>80</c:v>
                </c:pt>
                <c:pt idx="3">
                  <c:v>110</c:v>
                </c:pt>
              </c:numCache>
            </c:numRef>
          </c:val>
          <c:extLst>
            <c:ext xmlns:c16="http://schemas.microsoft.com/office/drawing/2014/chart" uri="{C3380CC4-5D6E-409C-BE32-E72D297353CC}">
              <c16:uniqueId val="{00000000-289D-4FE5-8E2E-19C06C5C8B59}"/>
            </c:ext>
          </c:extLst>
        </c:ser>
        <c:ser>
          <c:idx val="1"/>
          <c:order val="1"/>
          <c:spPr>
            <a:solidFill>
              <a:schemeClr val="dk1">
                <a:tint val="55000"/>
              </a:schemeClr>
            </a:solidFill>
            <a:ln>
              <a:noFill/>
            </a:ln>
            <a:effectLst/>
          </c:spPr>
          <c:invertIfNegative val="0"/>
          <c:cat>
            <c:strRef>
              <c:f>Background!$I$9:$I$12</c:f>
              <c:strCache>
                <c:ptCount val="4"/>
                <c:pt idx="0">
                  <c:v>Total Anticipated Points</c:v>
                </c:pt>
                <c:pt idx="1">
                  <c:v>Certified Project</c:v>
                </c:pt>
                <c:pt idx="2">
                  <c:v>Platinum Project</c:v>
                </c:pt>
                <c:pt idx="3">
                  <c:v>Total Possible Points</c:v>
                </c:pt>
              </c:strCache>
            </c:strRef>
          </c:cat>
          <c:val>
            <c:numRef>
              <c:f>Background!$K$9:$K$11</c:f>
              <c:numCache>
                <c:formatCode>General</c:formatCode>
                <c:ptCount val="3"/>
                <c:pt idx="0">
                  <c:v>0</c:v>
                </c:pt>
                <c:pt idx="1">
                  <c:v>0</c:v>
                </c:pt>
                <c:pt idx="2">
                  <c:v>0</c:v>
                </c:pt>
              </c:numCache>
            </c:numRef>
          </c:val>
          <c:extLst>
            <c:ext xmlns:c16="http://schemas.microsoft.com/office/drawing/2014/chart" uri="{C3380CC4-5D6E-409C-BE32-E72D297353CC}">
              <c16:uniqueId val="{00000001-289D-4FE5-8E2E-19C06C5C8B59}"/>
            </c:ext>
          </c:extLst>
        </c:ser>
        <c:dLbls>
          <c:showLegendKey val="0"/>
          <c:showVal val="0"/>
          <c:showCatName val="0"/>
          <c:showSerName val="0"/>
          <c:showPercent val="0"/>
          <c:showBubbleSize val="0"/>
        </c:dLbls>
        <c:gapWidth val="269"/>
        <c:overlap val="-58"/>
        <c:axId val="359243488"/>
        <c:axId val="359240128"/>
      </c:barChart>
      <c:catAx>
        <c:axId val="359243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359240128"/>
        <c:crosses val="autoZero"/>
        <c:auto val="1"/>
        <c:lblAlgn val="ctr"/>
        <c:lblOffset val="100"/>
        <c:noMultiLvlLbl val="0"/>
      </c:catAx>
      <c:valAx>
        <c:axId val="3592401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359243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baseline="0">
                <a:solidFill>
                  <a:srgbClr val="343434"/>
                </a:solidFill>
                <a:latin typeface="+mn-lt"/>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Decarbonization Prerequisites &amp; Credits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baseline="0">
              <a:solidFill>
                <a:srgbClr val="343434"/>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4F1-4F0D-99E4-4EA4E647C4B8}"/>
              </c:ext>
            </c:extLst>
          </c:dPt>
          <c:dPt>
            <c:idx val="1"/>
            <c:bubble3D val="0"/>
            <c:spPr>
              <a:solidFill>
                <a:schemeClr val="accent4">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4F1-4F0D-99E4-4EA4E647C4B8}"/>
              </c:ext>
            </c:extLst>
          </c:dPt>
          <c:dPt>
            <c:idx val="2"/>
            <c:bubble3D val="0"/>
            <c:spPr>
              <a:solidFill>
                <a:schemeClr val="accent4">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4F1-4F0D-99E4-4EA4E647C4B8}"/>
              </c:ext>
            </c:extLst>
          </c:dPt>
          <c:dPt>
            <c:idx val="3"/>
            <c:bubble3D val="0"/>
            <c:spPr>
              <a:solidFill>
                <a:schemeClr val="accent4">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4F1-4F0D-99E4-4EA4E647C4B8}"/>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34F1-4F0D-99E4-4EA4E647C4B8}"/>
                </c:ext>
              </c:extLst>
            </c:dLbl>
            <c:dLbl>
              <c:idx val="1"/>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34F1-4F0D-99E4-4EA4E647C4B8}"/>
                </c:ext>
              </c:extLst>
            </c:dLbl>
            <c:dLbl>
              <c:idx val="2"/>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34F1-4F0D-99E4-4EA4E647C4B8}"/>
                </c:ext>
              </c:extLst>
            </c:dLbl>
            <c:dLbl>
              <c:idx val="3"/>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34F1-4F0D-99E4-4EA4E647C4B8}"/>
                </c:ext>
              </c:extLst>
            </c:dLbl>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Background!$Q$5:$T$5</c:f>
              <c:strCache>
                <c:ptCount val="4"/>
                <c:pt idx="0">
                  <c:v>Yes</c:v>
                </c:pt>
                <c:pt idx="1">
                  <c:v>Maybe</c:v>
                </c:pt>
                <c:pt idx="2">
                  <c:v>No</c:v>
                </c:pt>
                <c:pt idx="3">
                  <c:v>Blank</c:v>
                </c:pt>
              </c:strCache>
            </c:strRef>
          </c:cat>
          <c:val>
            <c:numRef>
              <c:f>Background!$Q$6:$T$6</c:f>
              <c:numCache>
                <c:formatCode>General</c:formatCode>
                <c:ptCount val="4"/>
                <c:pt idx="0">
                  <c:v>0</c:v>
                </c:pt>
                <c:pt idx="1">
                  <c:v>0</c:v>
                </c:pt>
                <c:pt idx="2">
                  <c:v>0</c:v>
                </c:pt>
                <c:pt idx="3">
                  <c:v>25</c:v>
                </c:pt>
              </c:numCache>
            </c:numRef>
          </c:val>
          <c:extLst>
            <c:ext xmlns:c16="http://schemas.microsoft.com/office/drawing/2014/chart" uri="{C3380CC4-5D6E-409C-BE32-E72D297353CC}">
              <c16:uniqueId val="{00000008-34F1-4F0D-99E4-4EA4E647C4B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200" b="1" i="0" u="none" strike="noStrike" kern="1200" cap="all" baseline="0">
                <a:solidFill>
                  <a:srgbClr val="343434"/>
                </a:solidFill>
                <a:latin typeface="+mn-lt"/>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Quality of Life Prerequisites &amp; Credits</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343434"/>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A3D-483E-BCA8-62C611CE8348}"/>
              </c:ext>
            </c:extLst>
          </c:dPt>
          <c:dPt>
            <c:idx val="1"/>
            <c:bubble3D val="0"/>
            <c:spPr>
              <a:solidFill>
                <a:schemeClr val="accent2">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A3D-483E-BCA8-62C611CE8348}"/>
              </c:ext>
            </c:extLst>
          </c:dPt>
          <c:dPt>
            <c:idx val="2"/>
            <c:bubble3D val="0"/>
            <c:spPr>
              <a:solidFill>
                <a:schemeClr val="accent2">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A3D-483E-BCA8-62C611CE8348}"/>
              </c:ext>
            </c:extLst>
          </c:dPt>
          <c:dPt>
            <c:idx val="3"/>
            <c:bubble3D val="0"/>
            <c:spPr>
              <a:solidFill>
                <a:schemeClr val="accent2">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A3D-483E-BCA8-62C611CE8348}"/>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A-DA3D-483E-BCA8-62C611CE8348}"/>
                </c:ext>
              </c:extLst>
            </c:dLbl>
            <c:dLbl>
              <c:idx val="1"/>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B-DA3D-483E-BCA8-62C611CE8348}"/>
                </c:ext>
              </c:extLst>
            </c:dLbl>
            <c:dLbl>
              <c:idx val="2"/>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C-DA3D-483E-BCA8-62C611CE8348}"/>
                </c:ext>
              </c:extLst>
            </c:dLbl>
            <c:dLbl>
              <c:idx val="3"/>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D-DA3D-483E-BCA8-62C611CE8348}"/>
                </c:ext>
              </c:extLst>
            </c:dLbl>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Background!$Q$8:$T$8</c:f>
              <c:strCache>
                <c:ptCount val="4"/>
                <c:pt idx="0">
                  <c:v>Yes</c:v>
                </c:pt>
                <c:pt idx="1">
                  <c:v>Maybe</c:v>
                </c:pt>
                <c:pt idx="2">
                  <c:v>No</c:v>
                </c:pt>
                <c:pt idx="3">
                  <c:v>Blank</c:v>
                </c:pt>
              </c:strCache>
            </c:strRef>
          </c:cat>
          <c:val>
            <c:numRef>
              <c:f>Background!$Q$9:$T$9</c:f>
              <c:numCache>
                <c:formatCode>General</c:formatCode>
                <c:ptCount val="4"/>
                <c:pt idx="0">
                  <c:v>0</c:v>
                </c:pt>
                <c:pt idx="1">
                  <c:v>0</c:v>
                </c:pt>
                <c:pt idx="2">
                  <c:v>0</c:v>
                </c:pt>
                <c:pt idx="3">
                  <c:v>16</c:v>
                </c:pt>
              </c:numCache>
            </c:numRef>
          </c:val>
          <c:extLst>
            <c:ext xmlns:c16="http://schemas.microsoft.com/office/drawing/2014/chart" uri="{C3380CC4-5D6E-409C-BE32-E72D297353CC}">
              <c16:uniqueId val="{00000009-DA3D-483E-BCA8-62C611CE834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rgbClr val="343434"/>
                </a:solidFill>
                <a:latin typeface="Bahnschrift Bold" panose="020B0502040204020203" pitchFamily="34" charset="0"/>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Ecological Conservation and Restoration Prerequisites &amp; Credits</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343434"/>
              </a:solidFill>
              <a:latin typeface="Bahnschrift Bold" panose="020B0502040204020203" pitchFamily="34" charset="0"/>
              <a:ea typeface="+mn-ea"/>
              <a:cs typeface="+mn-cs"/>
            </a:defRPr>
          </a:pPr>
          <a:endParaRPr lang="en-US"/>
        </a:p>
      </c:txPr>
    </c:title>
    <c:autoTitleDeleted val="0"/>
    <c:plotArea>
      <c:layout>
        <c:manualLayout>
          <c:layoutTarget val="inner"/>
          <c:xMode val="edge"/>
          <c:yMode val="edge"/>
          <c:x val="0.3214610673665792"/>
          <c:y val="0.25620555248523047"/>
          <c:w val="0.415411198600175"/>
          <c:h val="0.69283313178625427"/>
        </c:manualLayout>
      </c:layout>
      <c:pieChart>
        <c:varyColors val="1"/>
        <c:ser>
          <c:idx val="0"/>
          <c:order val="0"/>
          <c:dPt>
            <c:idx val="0"/>
            <c:bubble3D val="0"/>
            <c:spPr>
              <a:solidFill>
                <a:schemeClr val="accent3">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9EA7-4014-A096-9F3B034378C3}"/>
              </c:ext>
            </c:extLst>
          </c:dPt>
          <c:dPt>
            <c:idx val="1"/>
            <c:bubble3D val="0"/>
            <c:spPr>
              <a:solidFill>
                <a:schemeClr val="accent3">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EA7-4014-A096-9F3B034378C3}"/>
              </c:ext>
            </c:extLst>
          </c:dPt>
          <c:dPt>
            <c:idx val="2"/>
            <c:bubble3D val="0"/>
            <c:spPr>
              <a:solidFill>
                <a:schemeClr val="accent3">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9EA7-4014-A096-9F3B034378C3}"/>
              </c:ext>
            </c:extLst>
          </c:dPt>
          <c:dPt>
            <c:idx val="3"/>
            <c:bubble3D val="0"/>
            <c:spPr>
              <a:solidFill>
                <a:schemeClr val="accent3">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EA7-4014-A096-9F3B034378C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A-9EA7-4014-A096-9F3B034378C3}"/>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B-9EA7-4014-A096-9F3B034378C3}"/>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C-9EA7-4014-A096-9F3B034378C3}"/>
                </c:ext>
              </c:extLst>
            </c:dLbl>
            <c:dLbl>
              <c:idx val="3"/>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D-9EA7-4014-A096-9F3B034378C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Background!$Q$11:$T$11</c:f>
              <c:strCache>
                <c:ptCount val="4"/>
                <c:pt idx="0">
                  <c:v>Yes</c:v>
                </c:pt>
                <c:pt idx="1">
                  <c:v>Maybe</c:v>
                </c:pt>
                <c:pt idx="2">
                  <c:v>No</c:v>
                </c:pt>
                <c:pt idx="3">
                  <c:v>Blank</c:v>
                </c:pt>
              </c:strCache>
            </c:strRef>
          </c:cat>
          <c:val>
            <c:numRef>
              <c:f>Background!$Q$12:$T$12</c:f>
              <c:numCache>
                <c:formatCode>General</c:formatCode>
                <c:ptCount val="4"/>
                <c:pt idx="0">
                  <c:v>0</c:v>
                </c:pt>
                <c:pt idx="1">
                  <c:v>0</c:v>
                </c:pt>
                <c:pt idx="2">
                  <c:v>0</c:v>
                </c:pt>
                <c:pt idx="3">
                  <c:v>16</c:v>
                </c:pt>
              </c:numCache>
            </c:numRef>
          </c:val>
          <c:extLst>
            <c:ext xmlns:c16="http://schemas.microsoft.com/office/drawing/2014/chart" uri="{C3380CC4-5D6E-409C-BE32-E72D297353CC}">
              <c16:uniqueId val="{00000009-9EA7-4014-A096-9F3B034378C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3347217847769029"/>
          <c:y val="0.16497567755385684"/>
          <c:w val="0.34166754155730533"/>
          <c:h val="7.733133427814226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b="0">
                <a:latin typeface="Bahnschrift Bold" panose="020B0502040204020203" pitchFamily="34" charset="0"/>
              </a:rPr>
              <a:t>Total Possible Points by</a:t>
            </a:r>
            <a:r>
              <a:rPr lang="en-US" sz="1400" b="0" baseline="0">
                <a:latin typeface="Bahnschrift Bold" panose="020B0502040204020203" pitchFamily="34" charset="0"/>
              </a:rPr>
              <a:t> Credit Category</a:t>
            </a:r>
            <a:endParaRPr lang="en-US" sz="1400" b="0">
              <a:latin typeface="Bahnschrift 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tx>
            <c:strRef>
              <c:f>Background!$E$15</c:f>
              <c:strCache>
                <c:ptCount val="1"/>
                <c:pt idx="0">
                  <c:v>Total Possible Points</c:v>
                </c:pt>
              </c:strCache>
            </c:strRef>
          </c:tx>
          <c:spPr>
            <a:solidFill>
              <a:schemeClr val="dk1">
                <a:tint val="88500"/>
              </a:schemeClr>
            </a:solidFill>
            <a:ln>
              <a:noFill/>
            </a:ln>
            <a:effectLst/>
          </c:spPr>
          <c:invertIfNegative val="0"/>
          <c:cat>
            <c:strRef>
              <c:f>Background!$A$18:$A$24</c:f>
              <c:strCache>
                <c:ptCount val="7"/>
                <c:pt idx="0">
                  <c:v>Integrative Process, Planning and Assessments (IP)</c:v>
                </c:pt>
                <c:pt idx="1">
                  <c:v>Location and Transportation (LT)</c:v>
                </c:pt>
                <c:pt idx="2">
                  <c:v>Water Efficiency (WE)</c:v>
                </c:pt>
                <c:pt idx="3">
                  <c:v>Energy and Atmosphere (EA)</c:v>
                </c:pt>
                <c:pt idx="4">
                  <c:v>Materials and Resources (MR)</c:v>
                </c:pt>
                <c:pt idx="5">
                  <c:v>Indoor Environmental Quality (EQ)</c:v>
                </c:pt>
                <c:pt idx="6">
                  <c:v>Project Priorities (PR)</c:v>
                </c:pt>
              </c:strCache>
            </c:strRef>
          </c:cat>
          <c:val>
            <c:numRef>
              <c:f>Background!$E$18:$E$24</c:f>
              <c:numCache>
                <c:formatCode>General</c:formatCode>
                <c:ptCount val="7"/>
                <c:pt idx="0">
                  <c:v>1</c:v>
                </c:pt>
                <c:pt idx="1">
                  <c:v>14</c:v>
                </c:pt>
                <c:pt idx="2">
                  <c:v>10</c:v>
                </c:pt>
                <c:pt idx="3">
                  <c:v>31</c:v>
                </c:pt>
                <c:pt idx="4">
                  <c:v>26</c:v>
                </c:pt>
                <c:pt idx="5">
                  <c:v>18</c:v>
                </c:pt>
                <c:pt idx="6">
                  <c:v>10</c:v>
                </c:pt>
              </c:numCache>
            </c:numRef>
          </c:val>
          <c:extLst>
            <c:ext xmlns:c16="http://schemas.microsoft.com/office/drawing/2014/chart" uri="{C3380CC4-5D6E-409C-BE32-E72D297353CC}">
              <c16:uniqueId val="{00000000-B454-4052-8E71-17552E55B59A}"/>
            </c:ext>
          </c:extLst>
        </c:ser>
        <c:dLbls>
          <c:showLegendKey val="0"/>
          <c:showVal val="0"/>
          <c:showCatName val="0"/>
          <c:showSerName val="0"/>
          <c:showPercent val="0"/>
          <c:showBubbleSize val="0"/>
        </c:dLbls>
        <c:gapWidth val="269"/>
        <c:overlap val="-20"/>
        <c:axId val="948480928"/>
        <c:axId val="948480448"/>
      </c:barChart>
      <c:catAx>
        <c:axId val="94848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48480448"/>
        <c:crosses val="autoZero"/>
        <c:auto val="1"/>
        <c:lblAlgn val="ctr"/>
        <c:lblOffset val="100"/>
        <c:noMultiLvlLbl val="0"/>
      </c:catAx>
      <c:valAx>
        <c:axId val="948480448"/>
        <c:scaling>
          <c:orientation val="minMax"/>
          <c:max val="3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484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b="0">
                <a:latin typeface="Bahnschrift Bold" panose="020B0502040204020203" pitchFamily="34" charset="0"/>
              </a:rPr>
              <a:t>Total </a:t>
            </a:r>
            <a:r>
              <a:rPr lang="en-US" sz="1400" b="0" i="0" u="none" strike="noStrike" kern="1200" cap="none" spc="0" normalizeH="0" baseline="0">
                <a:solidFill>
                  <a:srgbClr val="343434"/>
                </a:solidFill>
                <a:latin typeface="Bahnschrift Bold" panose="020B0502040204020203" pitchFamily="34" charset="0"/>
              </a:rPr>
              <a:t>Anticipated</a:t>
            </a:r>
            <a:r>
              <a:rPr lang="en-US" sz="1400" b="0">
                <a:latin typeface="Bahnschrift Bold" panose="020B0502040204020203" pitchFamily="34" charset="0"/>
              </a:rPr>
              <a:t> Points by</a:t>
            </a:r>
            <a:r>
              <a:rPr lang="en-US" sz="1400" b="0" baseline="0">
                <a:latin typeface="Bahnschrift Bold" panose="020B0502040204020203" pitchFamily="34" charset="0"/>
              </a:rPr>
              <a:t> Credit Category</a:t>
            </a:r>
            <a:endParaRPr lang="en-US" sz="1400" b="0">
              <a:latin typeface="Bahnschrift 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tx>
            <c:strRef>
              <c:f>Background!$F$15</c:f>
              <c:strCache>
                <c:ptCount val="1"/>
                <c:pt idx="0">
                  <c:v>Total Anticipated Points</c:v>
                </c:pt>
              </c:strCache>
            </c:strRef>
          </c:tx>
          <c:spPr>
            <a:solidFill>
              <a:schemeClr val="dk1">
                <a:tint val="88500"/>
              </a:schemeClr>
            </a:solidFill>
            <a:ln>
              <a:noFill/>
            </a:ln>
            <a:effectLst/>
          </c:spPr>
          <c:invertIfNegative val="0"/>
          <c:cat>
            <c:strRef>
              <c:f>Background!$A$18:$A$24</c:f>
              <c:strCache>
                <c:ptCount val="7"/>
                <c:pt idx="0">
                  <c:v>Integrative Process, Planning and Assessments (IP)</c:v>
                </c:pt>
                <c:pt idx="1">
                  <c:v>Location and Transportation (LT)</c:v>
                </c:pt>
                <c:pt idx="2">
                  <c:v>Water Efficiency (WE)</c:v>
                </c:pt>
                <c:pt idx="3">
                  <c:v>Energy and Atmosphere (EA)</c:v>
                </c:pt>
                <c:pt idx="4">
                  <c:v>Materials and Resources (MR)</c:v>
                </c:pt>
                <c:pt idx="5">
                  <c:v>Indoor Environmental Quality (EQ)</c:v>
                </c:pt>
                <c:pt idx="6">
                  <c:v>Project Priorities (PR)</c:v>
                </c:pt>
              </c:strCache>
            </c:strRef>
          </c:cat>
          <c:val>
            <c:numRef>
              <c:f>Background!$F$18:$F$24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6D6-4221-A01F-FFE95B655FF8}"/>
            </c:ext>
          </c:extLst>
        </c:ser>
        <c:dLbls>
          <c:showLegendKey val="0"/>
          <c:showVal val="0"/>
          <c:showCatName val="0"/>
          <c:showSerName val="0"/>
          <c:showPercent val="0"/>
          <c:showBubbleSize val="0"/>
        </c:dLbls>
        <c:gapWidth val="269"/>
        <c:overlap val="-20"/>
        <c:axId val="948480928"/>
        <c:axId val="948480448"/>
      </c:barChart>
      <c:catAx>
        <c:axId val="94848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48480448"/>
        <c:crosses val="autoZero"/>
        <c:auto val="1"/>
        <c:lblAlgn val="ctr"/>
        <c:lblOffset val="100"/>
        <c:noMultiLvlLbl val="0"/>
      </c:catAx>
      <c:valAx>
        <c:axId val="948480448"/>
        <c:scaling>
          <c:orientation val="minMax"/>
          <c:max val="3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484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27257</xdr:colOff>
      <xdr:row>1</xdr:row>
      <xdr:rowOff>330645</xdr:rowOff>
    </xdr:from>
    <xdr:to>
      <xdr:col>10</xdr:col>
      <xdr:colOff>322532</xdr:colOff>
      <xdr:row>1</xdr:row>
      <xdr:rowOff>626682</xdr:rowOff>
    </xdr:to>
    <xdr:pic>
      <xdr:nvPicPr>
        <xdr:cNvPr id="3" name="Picture 1">
          <a:extLst>
            <a:ext uri="{FF2B5EF4-FFF2-40B4-BE49-F238E27FC236}">
              <a16:creationId xmlns:a16="http://schemas.microsoft.com/office/drawing/2014/main" id="{EAEC4E01-0E08-4CDC-8AE5-9DADD1A053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7077" y="498285"/>
          <a:ext cx="918210" cy="3112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436245</xdr:colOff>
      <xdr:row>19</xdr:row>
      <xdr:rowOff>59055</xdr:rowOff>
    </xdr:from>
    <xdr:to>
      <xdr:col>11</xdr:col>
      <xdr:colOff>588645</xdr:colOff>
      <xdr:row>34</xdr:row>
      <xdr:rowOff>85725</xdr:rowOff>
    </xdr:to>
    <xdr:graphicFrame macro="">
      <xdr:nvGraphicFramePr>
        <xdr:cNvPr id="14" name="Chart 1">
          <a:extLst>
            <a:ext uri="{FF2B5EF4-FFF2-40B4-BE49-F238E27FC236}">
              <a16:creationId xmlns:a16="http://schemas.microsoft.com/office/drawing/2014/main" id="{F919C673-8CC3-4F82-B335-794280E6C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601979</xdr:colOff>
      <xdr:row>19</xdr:row>
      <xdr:rowOff>49530</xdr:rowOff>
    </xdr:from>
    <xdr:to>
      <xdr:col>23</xdr:col>
      <xdr:colOff>144779</xdr:colOff>
      <xdr:row>34</xdr:row>
      <xdr:rowOff>76200</xdr:rowOff>
    </xdr:to>
    <xdr:graphicFrame macro="">
      <xdr:nvGraphicFramePr>
        <xdr:cNvPr id="15" name="Chart 2">
          <a:extLst>
            <a:ext uri="{FF2B5EF4-FFF2-40B4-BE49-F238E27FC236}">
              <a16:creationId xmlns:a16="http://schemas.microsoft.com/office/drawing/2014/main" id="{9AF2686E-608F-406F-9334-9EE080BC3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460057</xdr:colOff>
      <xdr:row>4</xdr:row>
      <xdr:rowOff>116205</xdr:rowOff>
    </xdr:from>
    <xdr:to>
      <xdr:col>23</xdr:col>
      <xdr:colOff>155257</xdr:colOff>
      <xdr:row>19</xdr:row>
      <xdr:rowOff>59055</xdr:rowOff>
    </xdr:to>
    <xdr:graphicFrame macro="">
      <xdr:nvGraphicFramePr>
        <xdr:cNvPr id="13" name="Chart 5">
          <a:extLst>
            <a:ext uri="{FF2B5EF4-FFF2-40B4-BE49-F238E27FC236}">
              <a16:creationId xmlns:a16="http://schemas.microsoft.com/office/drawing/2014/main" id="{CD70C9FF-DA9E-CA8A-4FF6-541929D1C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424815</xdr:colOff>
      <xdr:row>34</xdr:row>
      <xdr:rowOff>102860</xdr:rowOff>
    </xdr:from>
    <xdr:to>
      <xdr:col>8</xdr:col>
      <xdr:colOff>120015</xdr:colOff>
      <xdr:row>47</xdr:row>
      <xdr:rowOff>114290</xdr:rowOff>
    </xdr:to>
    <xdr:graphicFrame macro="">
      <xdr:nvGraphicFramePr>
        <xdr:cNvPr id="7" name="Chart 6">
          <a:extLst>
            <a:ext uri="{FF2B5EF4-FFF2-40B4-BE49-F238E27FC236}">
              <a16:creationId xmlns:a16="http://schemas.microsoft.com/office/drawing/2014/main" id="{5124A5E6-8351-4B03-8F68-F8B87865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130011</xdr:colOff>
      <xdr:row>34</xdr:row>
      <xdr:rowOff>97146</xdr:rowOff>
    </xdr:from>
    <xdr:to>
      <xdr:col>15</xdr:col>
      <xdr:colOff>434811</xdr:colOff>
      <xdr:row>47</xdr:row>
      <xdr:rowOff>104766</xdr:rowOff>
    </xdr:to>
    <xdr:graphicFrame macro="">
      <xdr:nvGraphicFramePr>
        <xdr:cNvPr id="8" name="Chart 7">
          <a:extLst>
            <a:ext uri="{FF2B5EF4-FFF2-40B4-BE49-F238E27FC236}">
              <a16:creationId xmlns:a16="http://schemas.microsoft.com/office/drawing/2014/main" id="{3A2FEB93-9C58-4B80-97FA-E75BCE5CF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447670</xdr:colOff>
      <xdr:row>34</xdr:row>
      <xdr:rowOff>87625</xdr:rowOff>
    </xdr:from>
    <xdr:to>
      <xdr:col>23</xdr:col>
      <xdr:colOff>142870</xdr:colOff>
      <xdr:row>47</xdr:row>
      <xdr:rowOff>93340</xdr:rowOff>
    </xdr:to>
    <xdr:graphicFrame macro="">
      <xdr:nvGraphicFramePr>
        <xdr:cNvPr id="9" name="Chart 8">
          <a:extLst>
            <a:ext uri="{FF2B5EF4-FFF2-40B4-BE49-F238E27FC236}">
              <a16:creationId xmlns:a16="http://schemas.microsoft.com/office/drawing/2014/main" id="{F01DB585-EC1F-459C-A388-90D9BE9FB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148590</xdr:colOff>
      <xdr:row>4</xdr:row>
      <xdr:rowOff>114300</xdr:rowOff>
    </xdr:from>
    <xdr:to>
      <xdr:col>15</xdr:col>
      <xdr:colOff>453390</xdr:colOff>
      <xdr:row>19</xdr:row>
      <xdr:rowOff>59055</xdr:rowOff>
    </xdr:to>
    <xdr:graphicFrame macro="">
      <xdr:nvGraphicFramePr>
        <xdr:cNvPr id="12" name="Chart 10">
          <a:extLst>
            <a:ext uri="{FF2B5EF4-FFF2-40B4-BE49-F238E27FC236}">
              <a16:creationId xmlns:a16="http://schemas.microsoft.com/office/drawing/2014/main" id="{38954E51-8E10-4B1B-AC60-6850F5E9B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452437</xdr:colOff>
      <xdr:row>4</xdr:row>
      <xdr:rowOff>119063</xdr:rowOff>
    </xdr:from>
    <xdr:to>
      <xdr:col>8</xdr:col>
      <xdr:colOff>150018</xdr:colOff>
      <xdr:row>19</xdr:row>
      <xdr:rowOff>65723</xdr:rowOff>
    </xdr:to>
    <xdr:graphicFrame macro="">
      <xdr:nvGraphicFramePr>
        <xdr:cNvPr id="2" name="Chart 10">
          <a:extLst>
            <a:ext uri="{FF2B5EF4-FFF2-40B4-BE49-F238E27FC236}">
              <a16:creationId xmlns:a16="http://schemas.microsoft.com/office/drawing/2014/main" id="{205D7641-ADF4-434D-BFCA-EADF2BDB7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LEED v5 Theme">
  <a:themeElements>
    <a:clrScheme name="LEED v5 colors">
      <a:dk1>
        <a:srgbClr val="684659"/>
      </a:dk1>
      <a:lt1>
        <a:srgbClr val="FFFFFF"/>
      </a:lt1>
      <a:dk2>
        <a:srgbClr val="004961"/>
      </a:dk2>
      <a:lt2>
        <a:srgbClr val="7E8AA2"/>
      </a:lt2>
      <a:accent1>
        <a:srgbClr val="952713"/>
      </a:accent1>
      <a:accent2>
        <a:srgbClr val="B87400"/>
      </a:accent2>
      <a:accent3>
        <a:srgbClr val="536426"/>
      </a:accent3>
      <a:accent4>
        <a:srgbClr val="006570"/>
      </a:accent4>
      <a:accent5>
        <a:srgbClr val="C75127"/>
      </a:accent5>
      <a:accent6>
        <a:srgbClr val="7C4901"/>
      </a:accent6>
      <a:hlink>
        <a:srgbClr val="004861"/>
      </a:hlink>
      <a:folHlink>
        <a:srgbClr val="67465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LEED v5 Theme" id="{3381DE98-6E31-B54A-9888-C91E91952C3A}" vid="{D09A2C7D-7B63-C847-94C9-701BC5BCA44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AA4A6-7E01-43A8-B717-EBA954BCD602}">
  <dimension ref="A2:L18"/>
  <sheetViews>
    <sheetView tabSelected="1" workbookViewId="0">
      <selection activeCell="B2" sqref="B2:K2"/>
    </sheetView>
  </sheetViews>
  <sheetFormatPr defaultRowHeight="14.4" x14ac:dyDescent="0.3"/>
  <cols>
    <col min="1" max="2" width="8.88671875" style="72"/>
    <col min="3" max="4" width="13.33203125" style="72" customWidth="1"/>
    <col min="5" max="5" width="8.88671875" style="72"/>
    <col min="6" max="10" width="8.88671875" style="72" bestFit="1" customWidth="1"/>
    <col min="11" max="11" width="8.88671875" style="72" customWidth="1"/>
    <col min="12" max="16384" width="8.88671875" style="72"/>
  </cols>
  <sheetData>
    <row r="2" spans="1:12" ht="75" customHeight="1" x14ac:dyDescent="0.3">
      <c r="B2" s="312" t="s">
        <v>116</v>
      </c>
      <c r="C2" s="313"/>
      <c r="D2" s="313"/>
      <c r="E2" s="313"/>
      <c r="F2" s="313"/>
      <c r="G2" s="313"/>
      <c r="H2" s="313"/>
      <c r="I2" s="313"/>
      <c r="J2" s="313"/>
      <c r="K2" s="314"/>
    </row>
    <row r="3" spans="1:12" ht="34.799999999999997" customHeight="1" x14ac:dyDescent="0.3">
      <c r="B3" s="116"/>
      <c r="C3" s="317" t="s">
        <v>117</v>
      </c>
      <c r="D3" s="317"/>
      <c r="E3" s="203"/>
      <c r="F3" s="315" t="s">
        <v>133</v>
      </c>
      <c r="G3" s="315"/>
      <c r="H3" s="315"/>
      <c r="I3" s="315"/>
      <c r="J3" s="315"/>
      <c r="K3" s="316"/>
      <c r="L3" s="117"/>
    </row>
    <row r="4" spans="1:12" ht="34.799999999999997" customHeight="1" x14ac:dyDescent="0.3">
      <c r="B4" s="118"/>
      <c r="C4" s="305" t="s">
        <v>118</v>
      </c>
      <c r="D4" s="305"/>
      <c r="E4" s="204"/>
      <c r="F4" s="306" t="s">
        <v>132</v>
      </c>
      <c r="G4" s="306"/>
      <c r="H4" s="306"/>
      <c r="I4" s="306"/>
      <c r="J4" s="306"/>
      <c r="K4" s="307"/>
      <c r="L4" s="117"/>
    </row>
    <row r="5" spans="1:12" ht="34.799999999999997" customHeight="1" x14ac:dyDescent="0.3">
      <c r="B5" s="118"/>
      <c r="C5" s="305" t="s">
        <v>77</v>
      </c>
      <c r="D5" s="305"/>
      <c r="E5" s="204"/>
      <c r="F5" s="306" t="s">
        <v>131</v>
      </c>
      <c r="G5" s="306"/>
      <c r="H5" s="306"/>
      <c r="I5" s="306"/>
      <c r="J5" s="306"/>
      <c r="K5" s="307"/>
      <c r="L5" s="117"/>
    </row>
    <row r="6" spans="1:12" ht="21.6" customHeight="1" x14ac:dyDescent="0.3">
      <c r="B6" s="118"/>
      <c r="C6" s="194"/>
      <c r="D6" s="194"/>
      <c r="E6" s="194"/>
      <c r="F6" s="194"/>
      <c r="G6" s="194"/>
      <c r="H6" s="194"/>
      <c r="I6" s="194"/>
      <c r="J6" s="194"/>
      <c r="K6" s="195"/>
      <c r="L6" s="117"/>
    </row>
    <row r="7" spans="1:12" x14ac:dyDescent="0.3">
      <c r="B7" s="119"/>
      <c r="C7" s="303" t="s">
        <v>64</v>
      </c>
      <c r="D7" s="303"/>
      <c r="E7" s="303"/>
      <c r="F7" s="303"/>
      <c r="G7" s="303"/>
      <c r="H7" s="303"/>
      <c r="I7" s="303"/>
      <c r="J7" s="303"/>
      <c r="K7" s="304"/>
      <c r="L7" s="117"/>
    </row>
    <row r="8" spans="1:12" x14ac:dyDescent="0.3">
      <c r="B8" s="118"/>
      <c r="C8" s="308" t="s">
        <v>119</v>
      </c>
      <c r="D8" s="308"/>
      <c r="E8" s="308"/>
      <c r="F8" s="308"/>
      <c r="G8" s="308"/>
      <c r="H8" s="308"/>
      <c r="I8" s="308"/>
      <c r="J8" s="308"/>
      <c r="K8" s="309"/>
      <c r="L8" s="117"/>
    </row>
    <row r="9" spans="1:12" ht="28.2" customHeight="1" x14ac:dyDescent="0.3">
      <c r="B9" s="118"/>
      <c r="C9" s="308" t="s">
        <v>150</v>
      </c>
      <c r="D9" s="308"/>
      <c r="E9" s="308"/>
      <c r="F9" s="308"/>
      <c r="G9" s="308"/>
      <c r="H9" s="308"/>
      <c r="I9" s="308"/>
      <c r="J9" s="308"/>
      <c r="K9" s="309"/>
      <c r="L9" s="117"/>
    </row>
    <row r="10" spans="1:12" ht="21" customHeight="1" x14ac:dyDescent="0.3">
      <c r="B10" s="118"/>
      <c r="C10" s="196"/>
      <c r="D10" s="308" t="s">
        <v>130</v>
      </c>
      <c r="E10" s="308"/>
      <c r="F10" s="308"/>
      <c r="G10" s="308"/>
      <c r="H10" s="308"/>
      <c r="I10" s="308"/>
      <c r="J10" s="308"/>
      <c r="K10" s="309"/>
      <c r="L10" s="117"/>
    </row>
    <row r="11" spans="1:12" ht="21" customHeight="1" x14ac:dyDescent="0.3">
      <c r="B11" s="118"/>
      <c r="C11" s="196"/>
      <c r="D11" s="308" t="s">
        <v>129</v>
      </c>
      <c r="E11" s="308"/>
      <c r="F11" s="308"/>
      <c r="G11" s="308"/>
      <c r="H11" s="308"/>
      <c r="I11" s="308"/>
      <c r="J11" s="308"/>
      <c r="K11" s="309"/>
      <c r="L11" s="117"/>
    </row>
    <row r="12" spans="1:12" ht="21" customHeight="1" x14ac:dyDescent="0.3">
      <c r="B12" s="119"/>
      <c r="C12" s="196"/>
      <c r="D12" s="308" t="s">
        <v>128</v>
      </c>
      <c r="E12" s="308"/>
      <c r="F12" s="308"/>
      <c r="G12" s="308"/>
      <c r="H12" s="308"/>
      <c r="I12" s="308"/>
      <c r="J12" s="308"/>
      <c r="K12" s="309"/>
      <c r="L12" s="117"/>
    </row>
    <row r="13" spans="1:12" ht="33" customHeight="1" x14ac:dyDescent="0.3">
      <c r="B13" s="119"/>
      <c r="C13" s="308" t="s">
        <v>126</v>
      </c>
      <c r="D13" s="308"/>
      <c r="E13" s="308"/>
      <c r="F13" s="308"/>
      <c r="G13" s="308"/>
      <c r="H13" s="308"/>
      <c r="I13" s="308"/>
      <c r="J13" s="308"/>
      <c r="K13" s="309"/>
      <c r="L13" s="117"/>
    </row>
    <row r="14" spans="1:12" ht="33" customHeight="1" x14ac:dyDescent="0.3">
      <c r="B14" s="119"/>
      <c r="C14" s="310" t="s">
        <v>152</v>
      </c>
      <c r="D14" s="310"/>
      <c r="E14" s="310"/>
      <c r="F14" s="310"/>
      <c r="G14" s="310"/>
      <c r="H14" s="310"/>
      <c r="I14" s="310"/>
      <c r="J14" s="310"/>
      <c r="K14" s="311"/>
      <c r="L14" s="117"/>
    </row>
    <row r="15" spans="1:12" ht="28.8" customHeight="1" x14ac:dyDescent="0.3">
      <c r="B15" s="118"/>
      <c r="C15" s="308" t="s">
        <v>151</v>
      </c>
      <c r="D15" s="308"/>
      <c r="E15" s="308"/>
      <c r="F15" s="308"/>
      <c r="G15" s="308"/>
      <c r="H15" s="308"/>
      <c r="I15" s="308"/>
      <c r="J15" s="308"/>
      <c r="K15" s="309"/>
      <c r="L15" s="117"/>
    </row>
    <row r="16" spans="1:12" ht="45.6" customHeight="1" x14ac:dyDescent="0.3">
      <c r="A16" s="192"/>
      <c r="B16" s="118"/>
      <c r="C16" s="303" t="s">
        <v>76</v>
      </c>
      <c r="D16" s="303"/>
      <c r="E16" s="303"/>
      <c r="F16" s="303"/>
      <c r="G16" s="303"/>
      <c r="H16" s="303"/>
      <c r="I16" s="303"/>
      <c r="J16" s="303"/>
      <c r="K16" s="304"/>
      <c r="L16" s="193"/>
    </row>
    <row r="17" spans="1:12" ht="27.6" x14ac:dyDescent="0.3">
      <c r="A17" s="120"/>
      <c r="B17" s="121"/>
      <c r="C17" s="122"/>
      <c r="D17" s="122"/>
      <c r="E17" s="122"/>
      <c r="F17" s="122"/>
      <c r="G17" s="122"/>
      <c r="H17" s="122"/>
      <c r="I17" s="122"/>
      <c r="J17" s="122"/>
      <c r="K17" s="123"/>
      <c r="L17" s="124"/>
    </row>
    <row r="18" spans="1:12" x14ac:dyDescent="0.3">
      <c r="A18" s="44"/>
      <c r="B18" s="125"/>
      <c r="C18" s="125"/>
      <c r="D18" s="125"/>
      <c r="E18" s="125"/>
      <c r="F18" s="125"/>
      <c r="G18" s="125"/>
      <c r="H18" s="125"/>
      <c r="I18" s="125"/>
      <c r="J18" s="125"/>
      <c r="K18" s="125"/>
    </row>
  </sheetData>
  <sheetProtection algorithmName="SHA-512" hashValue="A0p3+PWb3lgO/meycW6VJtWV7hMM8iZCK7VT4GYStck4W0gNQlefnmCITTstHsUaJlHXFBSy0vu0f8rHrBri6g==" saltValue="BVT1WGYyHR87tCMTkTemaw==" spinCount="100000" sheet="1" objects="1" scenarios="1"/>
  <mergeCells count="17">
    <mergeCell ref="B2:K2"/>
    <mergeCell ref="F3:K3"/>
    <mergeCell ref="C3:D3"/>
    <mergeCell ref="C4:D4"/>
    <mergeCell ref="C13:K13"/>
    <mergeCell ref="F4:K4"/>
    <mergeCell ref="C7:K7"/>
    <mergeCell ref="C8:K8"/>
    <mergeCell ref="C9:K9"/>
    <mergeCell ref="C16:K16"/>
    <mergeCell ref="C5:D5"/>
    <mergeCell ref="F5:K5"/>
    <mergeCell ref="C15:K15"/>
    <mergeCell ref="D10:K10"/>
    <mergeCell ref="D11:K11"/>
    <mergeCell ref="D12:K12"/>
    <mergeCell ref="C14:K14"/>
  </mergeCells>
  <pageMargins left="0.7" right="0.7" top="0.75" bottom="0.75" header="0.3" footer="0.3"/>
  <pageSetup scale="85" fitToWidth="0"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FB31-4889-472F-B488-F86F1443AEDF}">
  <sheetPr>
    <pageSetUpPr fitToPage="1"/>
  </sheetPr>
  <dimension ref="A1:BF76"/>
  <sheetViews>
    <sheetView workbookViewId="0">
      <selection activeCell="L8" sqref="L8:O8"/>
    </sheetView>
  </sheetViews>
  <sheetFormatPr defaultColWidth="9.109375" defaultRowHeight="13.8" x14ac:dyDescent="0.25"/>
  <cols>
    <col min="1" max="3" width="10" style="34" customWidth="1"/>
    <col min="4" max="4" width="1" style="34" customWidth="1"/>
    <col min="5" max="5" width="8" style="40" customWidth="1"/>
    <col min="6" max="6" width="3.44140625" style="40" customWidth="1"/>
    <col min="7" max="7" width="13.77734375" style="40" customWidth="1"/>
    <col min="8" max="8" width="47.88671875" style="40" customWidth="1"/>
    <col min="9" max="10" width="12.44140625" style="40" customWidth="1"/>
    <col min="11" max="11" width="3.33203125" style="219" customWidth="1"/>
    <col min="12" max="12" width="22.109375" style="77" customWidth="1"/>
    <col min="13" max="13" width="18.77734375" style="130" customWidth="1"/>
    <col min="14" max="14" width="9.109375" style="40" customWidth="1"/>
    <col min="15" max="15" width="16" style="40" customWidth="1"/>
    <col min="16" max="16" width="4.44140625" style="40" customWidth="1"/>
    <col min="17" max="16384" width="9.109375" style="40"/>
  </cols>
  <sheetData>
    <row r="1" spans="1:58" ht="25.05" customHeight="1" x14ac:dyDescent="0.25">
      <c r="D1" s="35"/>
      <c r="E1" s="36"/>
      <c r="F1" s="37"/>
      <c r="G1" s="38"/>
      <c r="H1" s="38"/>
      <c r="I1" s="39"/>
      <c r="L1" s="114" t="s">
        <v>4</v>
      </c>
      <c r="M1" s="115"/>
      <c r="N1" s="115"/>
    </row>
    <row r="2" spans="1:58" ht="24.6" customHeight="1" x14ac:dyDescent="0.25">
      <c r="A2" s="41" t="s">
        <v>78</v>
      </c>
      <c r="B2" s="41"/>
      <c r="D2" s="35"/>
      <c r="F2" s="42"/>
      <c r="G2" s="42"/>
      <c r="H2" s="42"/>
      <c r="I2" s="43"/>
      <c r="L2" s="51" t="s">
        <v>58</v>
      </c>
      <c r="M2" s="52">
        <f>A70</f>
        <v>0</v>
      </c>
      <c r="N2" s="53" t="s">
        <v>65</v>
      </c>
      <c r="P2" s="139" t="s">
        <v>70</v>
      </c>
      <c r="Q2" s="132"/>
      <c r="R2" s="132"/>
    </row>
    <row r="3" spans="1:58" ht="13.95" customHeight="1" x14ac:dyDescent="0.25">
      <c r="A3" s="44" t="s">
        <v>61</v>
      </c>
      <c r="B3" s="44"/>
      <c r="D3" s="45"/>
      <c r="I3" s="46"/>
      <c r="L3" s="54" t="s">
        <v>59</v>
      </c>
      <c r="M3" s="55">
        <f>B70</f>
        <v>0</v>
      </c>
      <c r="N3" s="56" t="s">
        <v>65</v>
      </c>
      <c r="P3" s="325" t="s">
        <v>71</v>
      </c>
      <c r="Q3" s="325"/>
      <c r="R3" s="325"/>
    </row>
    <row r="4" spans="1:58" ht="11.4" customHeight="1" x14ac:dyDescent="0.25">
      <c r="A4" s="40"/>
      <c r="B4" s="40"/>
      <c r="C4" s="40"/>
      <c r="D4" s="40"/>
      <c r="L4" s="54" t="s">
        <v>60</v>
      </c>
      <c r="M4" s="55">
        <f>C70</f>
        <v>0</v>
      </c>
      <c r="N4" s="56" t="s">
        <v>65</v>
      </c>
      <c r="P4" s="326" t="s">
        <v>67</v>
      </c>
      <c r="Q4" s="326"/>
      <c r="R4" s="326"/>
    </row>
    <row r="5" spans="1:58" ht="11.4" customHeight="1" x14ac:dyDescent="0.25">
      <c r="A5" s="40"/>
      <c r="B5" s="40"/>
      <c r="C5" s="40"/>
      <c r="D5" s="40"/>
      <c r="L5" s="54"/>
      <c r="M5" s="55"/>
      <c r="N5" s="56"/>
    </row>
    <row r="6" spans="1:58" ht="11.4" customHeight="1" x14ac:dyDescent="0.25">
      <c r="A6" s="40"/>
      <c r="B6" s="40"/>
      <c r="C6" s="40"/>
      <c r="D6" s="40"/>
      <c r="I6" s="319" t="s">
        <v>62</v>
      </c>
      <c r="J6" s="319" t="s">
        <v>127</v>
      </c>
      <c r="L6" s="54" t="s">
        <v>127</v>
      </c>
      <c r="M6" s="58">
        <f>J70</f>
        <v>0</v>
      </c>
      <c r="N6" s="56" t="s">
        <v>65</v>
      </c>
    </row>
    <row r="7" spans="1:58" ht="11.4" customHeight="1" x14ac:dyDescent="0.25">
      <c r="A7" s="40"/>
      <c r="B7" s="40"/>
      <c r="C7" s="40"/>
      <c r="D7" s="40"/>
      <c r="I7" s="320"/>
      <c r="J7" s="320"/>
      <c r="L7" s="59" t="s">
        <v>62</v>
      </c>
      <c r="M7" s="60">
        <f>I70</f>
        <v>110</v>
      </c>
      <c r="N7" s="61" t="s">
        <v>65</v>
      </c>
      <c r="R7" s="289"/>
    </row>
    <row r="8" spans="1:58" ht="23.4" customHeight="1" x14ac:dyDescent="0.3">
      <c r="A8" s="286" t="s">
        <v>58</v>
      </c>
      <c r="B8" s="286" t="s">
        <v>59</v>
      </c>
      <c r="C8" s="286" t="s">
        <v>60</v>
      </c>
      <c r="D8" s="45"/>
      <c r="E8" s="34"/>
      <c r="F8" s="34"/>
      <c r="G8" s="34"/>
      <c r="H8" s="34"/>
      <c r="I8" s="321"/>
      <c r="J8" s="321"/>
      <c r="K8" s="88"/>
      <c r="L8" s="285" t="s">
        <v>69</v>
      </c>
      <c r="M8" s="322" t="s">
        <v>68</v>
      </c>
      <c r="N8" s="323"/>
      <c r="O8" s="324"/>
      <c r="T8" s="66"/>
      <c r="U8"/>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row>
    <row r="9" spans="1:58" ht="19.05" customHeight="1" x14ac:dyDescent="0.25">
      <c r="A9" s="47"/>
      <c r="B9" s="47"/>
      <c r="C9" s="47"/>
      <c r="D9" s="48"/>
      <c r="E9" s="329" t="s">
        <v>45</v>
      </c>
      <c r="F9" s="329"/>
      <c r="G9" s="329"/>
      <c r="H9" s="330"/>
      <c r="I9" s="263">
        <f>SUM(I13)</f>
        <v>1</v>
      </c>
      <c r="J9" s="263">
        <f>SUM(J13)</f>
        <v>0</v>
      </c>
      <c r="L9" s="129"/>
      <c r="M9" s="131"/>
      <c r="N9" s="289"/>
      <c r="O9" s="167"/>
    </row>
    <row r="10" spans="1:58" ht="19.05" customHeight="1" x14ac:dyDescent="0.25">
      <c r="A10" s="126" t="b">
        <v>0</v>
      </c>
      <c r="B10" s="126" t="b">
        <v>0</v>
      </c>
      <c r="C10" s="126" t="b">
        <v>0</v>
      </c>
      <c r="D10" s="109"/>
      <c r="E10" s="50" t="s">
        <v>11</v>
      </c>
      <c r="F10" s="333" t="s">
        <v>8</v>
      </c>
      <c r="G10" s="333"/>
      <c r="H10" s="333"/>
      <c r="I10" s="327" t="s">
        <v>0</v>
      </c>
      <c r="J10" s="328"/>
      <c r="K10" s="264"/>
      <c r="L10" s="290"/>
      <c r="M10" s="318"/>
      <c r="N10" s="318"/>
      <c r="O10" s="318"/>
      <c r="P10" s="46"/>
      <c r="R10" s="95"/>
    </row>
    <row r="11" spans="1:58" ht="19.05" customHeight="1" x14ac:dyDescent="0.25">
      <c r="A11" s="126" t="b">
        <v>0</v>
      </c>
      <c r="B11" s="126" t="b">
        <v>0</v>
      </c>
      <c r="C11" s="126" t="b">
        <v>0</v>
      </c>
      <c r="D11" s="109"/>
      <c r="E11" s="50" t="s">
        <v>12</v>
      </c>
      <c r="F11" s="333" t="s">
        <v>9</v>
      </c>
      <c r="G11" s="333"/>
      <c r="H11" s="333"/>
      <c r="I11" s="327" t="s">
        <v>0</v>
      </c>
      <c r="J11" s="328" t="s">
        <v>0</v>
      </c>
      <c r="L11" s="214"/>
      <c r="M11" s="318"/>
      <c r="N11" s="318"/>
      <c r="O11" s="318"/>
      <c r="R11" s="64"/>
    </row>
    <row r="12" spans="1:58" ht="19.05" customHeight="1" x14ac:dyDescent="0.25">
      <c r="A12" s="126" t="b">
        <v>0</v>
      </c>
      <c r="B12" s="126" t="b">
        <v>0</v>
      </c>
      <c r="C12" s="254" t="b">
        <v>0</v>
      </c>
      <c r="D12" s="255"/>
      <c r="E12" s="256" t="s">
        <v>13</v>
      </c>
      <c r="F12" s="331" t="s">
        <v>79</v>
      </c>
      <c r="G12" s="331"/>
      <c r="H12" s="331"/>
      <c r="I12" s="327" t="s">
        <v>0</v>
      </c>
      <c r="J12" s="328" t="s">
        <v>0</v>
      </c>
      <c r="L12" s="214"/>
      <c r="M12" s="318"/>
      <c r="N12" s="318"/>
      <c r="O12" s="318"/>
      <c r="R12" s="76"/>
      <c r="S12" s="46"/>
    </row>
    <row r="13" spans="1:58" ht="19.05" customHeight="1" x14ac:dyDescent="0.25">
      <c r="A13" s="110">
        <v>0</v>
      </c>
      <c r="B13" s="110">
        <v>0</v>
      </c>
      <c r="C13" s="261">
        <v>0</v>
      </c>
      <c r="D13" s="262"/>
      <c r="E13" s="205" t="s">
        <v>14</v>
      </c>
      <c r="F13" s="332" t="s">
        <v>80</v>
      </c>
      <c r="G13" s="332"/>
      <c r="H13" s="332"/>
      <c r="I13" s="55">
        <v>1</v>
      </c>
      <c r="J13" s="58">
        <f>SUM(A13:B13)</f>
        <v>0</v>
      </c>
      <c r="K13" s="265" t="str">
        <f t="shared" ref="K13" si="0">IF(J13&gt;I13,"⚠","")</f>
        <v/>
      </c>
      <c r="L13" s="214"/>
      <c r="M13" s="318"/>
      <c r="N13" s="318"/>
      <c r="O13" s="318"/>
      <c r="P13" s="141"/>
      <c r="Q13" s="141"/>
      <c r="R13" s="142"/>
      <c r="S13" s="46"/>
    </row>
    <row r="14" spans="1:58" ht="19.05" customHeight="1" x14ac:dyDescent="0.25">
      <c r="A14" s="62"/>
      <c r="B14" s="62"/>
      <c r="C14" s="257"/>
      <c r="D14" s="258"/>
      <c r="E14" s="259"/>
      <c r="F14" s="260"/>
      <c r="G14" s="260"/>
      <c r="H14" s="260"/>
      <c r="I14" s="63"/>
      <c r="J14" s="63"/>
      <c r="K14" s="215"/>
      <c r="L14" s="215"/>
      <c r="M14" s="216"/>
      <c r="N14" s="77"/>
      <c r="O14" s="280"/>
      <c r="P14" s="280"/>
      <c r="Q14" s="280"/>
      <c r="R14" s="280"/>
      <c r="S14" s="280"/>
    </row>
    <row r="15" spans="1:58" ht="19.05" customHeight="1" x14ac:dyDescent="0.25">
      <c r="A15" s="67"/>
      <c r="B15" s="67"/>
      <c r="C15" s="67"/>
      <c r="D15" s="68"/>
      <c r="E15" s="347" t="s">
        <v>39</v>
      </c>
      <c r="F15" s="347"/>
      <c r="G15" s="347"/>
      <c r="H15" s="348"/>
      <c r="I15" s="69">
        <f>SUM(I16:I18)</f>
        <v>14</v>
      </c>
      <c r="J15" s="69">
        <f>SUM(J16:J18)</f>
        <v>0</v>
      </c>
      <c r="K15" s="217"/>
      <c r="L15" s="217"/>
      <c r="M15" s="218"/>
      <c r="N15" s="77"/>
      <c r="O15" s="280"/>
      <c r="P15" s="280"/>
      <c r="Q15" s="280"/>
      <c r="R15" s="280"/>
      <c r="S15" s="280"/>
    </row>
    <row r="16" spans="1:58" s="64" customFormat="1" ht="19.05" customHeight="1" x14ac:dyDescent="0.25">
      <c r="A16" s="110">
        <v>0</v>
      </c>
      <c r="B16" s="110">
        <v>0</v>
      </c>
      <c r="C16" s="110">
        <v>0</v>
      </c>
      <c r="D16" s="57"/>
      <c r="E16" s="71" t="s">
        <v>15</v>
      </c>
      <c r="F16" s="332" t="s">
        <v>81</v>
      </c>
      <c r="G16" s="332"/>
      <c r="H16" s="332"/>
      <c r="I16" s="55">
        <v>8</v>
      </c>
      <c r="J16" s="58">
        <f>SUM(A16:B16)</f>
        <v>0</v>
      </c>
      <c r="K16" s="265" t="str">
        <f t="shared" ref="K16:K17" si="1">IF(J16&gt;I16,"⚠","")</f>
        <v/>
      </c>
      <c r="L16" s="214"/>
      <c r="M16" s="318"/>
      <c r="N16" s="318"/>
      <c r="O16" s="318"/>
      <c r="P16" s="280"/>
      <c r="Q16" s="280"/>
      <c r="R16" s="280"/>
      <c r="S16" s="280"/>
    </row>
    <row r="17" spans="1:23" s="70" customFormat="1" ht="19.05" customHeight="1" x14ac:dyDescent="0.25">
      <c r="A17" s="110">
        <v>0</v>
      </c>
      <c r="B17" s="110">
        <v>0</v>
      </c>
      <c r="C17" s="110">
        <v>0</v>
      </c>
      <c r="D17" s="57"/>
      <c r="E17" s="73" t="s">
        <v>16</v>
      </c>
      <c r="F17" s="336" t="s">
        <v>10</v>
      </c>
      <c r="G17" s="337"/>
      <c r="H17" s="338"/>
      <c r="I17" s="74">
        <v>4</v>
      </c>
      <c r="J17" s="58">
        <f>SUM(A17:B17)</f>
        <v>0</v>
      </c>
      <c r="K17" s="265" t="str">
        <f t="shared" si="1"/>
        <v/>
      </c>
      <c r="L17" s="214"/>
      <c r="M17" s="318"/>
      <c r="N17" s="318"/>
      <c r="O17" s="318"/>
      <c r="P17" s="77"/>
      <c r="Q17" s="77"/>
      <c r="R17" s="77"/>
      <c r="S17" s="77"/>
      <c r="T17" s="77"/>
      <c r="U17" s="77"/>
      <c r="V17" s="77"/>
      <c r="W17" s="77"/>
    </row>
    <row r="18" spans="1:23" s="72" customFormat="1" ht="19.05" customHeight="1" x14ac:dyDescent="0.3">
      <c r="A18" s="110">
        <v>0</v>
      </c>
      <c r="B18" s="110">
        <v>0</v>
      </c>
      <c r="C18" s="110">
        <v>0</v>
      </c>
      <c r="D18" s="57"/>
      <c r="E18" s="71" t="s">
        <v>17</v>
      </c>
      <c r="F18" s="339" t="s">
        <v>5</v>
      </c>
      <c r="G18" s="340"/>
      <c r="H18" s="341"/>
      <c r="I18" s="55">
        <v>2</v>
      </c>
      <c r="J18" s="58">
        <f>SUM(A18:B18)</f>
        <v>0</v>
      </c>
      <c r="K18" s="265" t="str">
        <f>IF(J18&gt;I18,"⚠","")</f>
        <v/>
      </c>
      <c r="L18" s="214"/>
      <c r="M18" s="318"/>
      <c r="N18" s="318"/>
      <c r="O18" s="318"/>
      <c r="P18" s="77"/>
      <c r="Q18" s="77"/>
      <c r="R18" s="77"/>
      <c r="S18" s="77"/>
      <c r="T18" s="77"/>
      <c r="U18" s="77"/>
      <c r="V18" s="77"/>
      <c r="W18" s="77"/>
    </row>
    <row r="19" spans="1:23" s="66" customFormat="1" ht="19.05" customHeight="1" x14ac:dyDescent="0.25">
      <c r="A19" s="75"/>
      <c r="B19" s="75"/>
      <c r="C19" s="75"/>
      <c r="D19" s="57"/>
      <c r="E19" s="71"/>
      <c r="F19" s="349"/>
      <c r="G19" s="349"/>
      <c r="H19" s="349"/>
      <c r="I19" s="55"/>
      <c r="J19" s="40"/>
      <c r="K19" s="219"/>
      <c r="L19" s="219"/>
      <c r="M19" s="220"/>
      <c r="N19" s="77"/>
      <c r="O19" s="77"/>
      <c r="P19" s="77"/>
      <c r="Q19" s="77"/>
      <c r="R19" s="77"/>
      <c r="S19" s="77"/>
      <c r="T19" s="77"/>
      <c r="U19" s="77"/>
      <c r="V19" s="77"/>
      <c r="W19" s="77"/>
    </row>
    <row r="20" spans="1:23" s="77" customFormat="1" ht="19.05" customHeight="1" x14ac:dyDescent="0.25">
      <c r="A20" s="80"/>
      <c r="B20" s="80"/>
      <c r="C20" s="80"/>
      <c r="D20" s="68"/>
      <c r="E20" s="334" t="s">
        <v>40</v>
      </c>
      <c r="F20" s="334"/>
      <c r="G20" s="334"/>
      <c r="H20" s="335"/>
      <c r="I20" s="81">
        <f>SUM(I22:I23)</f>
        <v>10</v>
      </c>
      <c r="J20" s="81">
        <f>SUM(J22:J23)</f>
        <v>0</v>
      </c>
      <c r="K20" s="219"/>
      <c r="L20" s="219"/>
      <c r="M20" s="220"/>
    </row>
    <row r="21" spans="1:23" ht="19.05" customHeight="1" x14ac:dyDescent="0.25">
      <c r="A21" s="126" t="b">
        <v>0</v>
      </c>
      <c r="B21" s="126" t="b">
        <v>0</v>
      </c>
      <c r="C21" s="126" t="b">
        <v>0</v>
      </c>
      <c r="D21" s="49"/>
      <c r="E21" s="50" t="s">
        <v>18</v>
      </c>
      <c r="F21" s="333" t="s">
        <v>82</v>
      </c>
      <c r="G21" s="333"/>
      <c r="H21" s="333"/>
      <c r="I21" s="327" t="s">
        <v>0</v>
      </c>
      <c r="J21" s="328" t="s">
        <v>0</v>
      </c>
      <c r="L21" s="214"/>
      <c r="M21" s="318"/>
      <c r="N21" s="318"/>
      <c r="O21" s="318"/>
      <c r="P21" s="77"/>
      <c r="Q21" s="77"/>
      <c r="R21" s="77"/>
      <c r="S21" s="77"/>
      <c r="T21" s="77"/>
      <c r="U21" s="77"/>
      <c r="V21" s="77"/>
      <c r="W21" s="77"/>
    </row>
    <row r="22" spans="1:23" s="76" customFormat="1" ht="19.05" customHeight="1" x14ac:dyDescent="0.25">
      <c r="A22" s="110">
        <v>0</v>
      </c>
      <c r="B22" s="110">
        <v>0</v>
      </c>
      <c r="C22" s="110">
        <v>0</v>
      </c>
      <c r="D22" s="57"/>
      <c r="E22" s="71" t="s">
        <v>57</v>
      </c>
      <c r="F22" s="332" t="s">
        <v>83</v>
      </c>
      <c r="G22" s="332"/>
      <c r="H22" s="332"/>
      <c r="I22" s="55">
        <v>2</v>
      </c>
      <c r="J22" s="58">
        <f>SUM(A22:B22)</f>
        <v>0</v>
      </c>
      <c r="K22" s="265" t="str">
        <f t="shared" ref="K22:K23" si="2">IF(J22&gt;I22,"⚠","")</f>
        <v/>
      </c>
      <c r="L22" s="214"/>
      <c r="M22" s="318"/>
      <c r="N22" s="318"/>
      <c r="O22" s="318"/>
      <c r="P22" s="77"/>
      <c r="Q22" s="77"/>
      <c r="R22" s="77"/>
      <c r="S22" s="77"/>
      <c r="T22" s="77"/>
      <c r="U22" s="77"/>
      <c r="V22" s="77"/>
      <c r="W22" s="77"/>
    </row>
    <row r="23" spans="1:23" s="77" customFormat="1" ht="19.05" customHeight="1" x14ac:dyDescent="0.25">
      <c r="A23" s="110">
        <v>0</v>
      </c>
      <c r="B23" s="110">
        <v>0</v>
      </c>
      <c r="C23" s="110">
        <v>0</v>
      </c>
      <c r="D23" s="57"/>
      <c r="E23" s="71" t="s">
        <v>56</v>
      </c>
      <c r="F23" s="339" t="s">
        <v>84</v>
      </c>
      <c r="G23" s="340"/>
      <c r="H23" s="341"/>
      <c r="I23" s="55">
        <v>8</v>
      </c>
      <c r="J23" s="58">
        <f>SUM(A23:B23)</f>
        <v>0</v>
      </c>
      <c r="K23" s="265" t="str">
        <f t="shared" si="2"/>
        <v/>
      </c>
      <c r="L23" s="214"/>
      <c r="M23" s="318"/>
      <c r="N23" s="318"/>
      <c r="O23" s="318"/>
    </row>
    <row r="24" spans="1:23" s="77" customFormat="1" ht="19.05" customHeight="1" x14ac:dyDescent="0.25">
      <c r="A24" s="75"/>
      <c r="B24" s="75"/>
      <c r="C24" s="75"/>
      <c r="D24" s="57"/>
      <c r="E24" s="82"/>
      <c r="F24" s="79"/>
      <c r="G24" s="79"/>
      <c r="H24" s="79"/>
      <c r="I24" s="55"/>
      <c r="J24" s="55"/>
      <c r="K24" s="219"/>
      <c r="L24" s="219"/>
      <c r="M24" s="220"/>
    </row>
    <row r="25" spans="1:23" s="77" customFormat="1" ht="19.05" customHeight="1" x14ac:dyDescent="0.25">
      <c r="A25" s="83"/>
      <c r="B25" s="83"/>
      <c r="C25" s="83"/>
      <c r="D25" s="84"/>
      <c r="E25" s="345" t="s">
        <v>41</v>
      </c>
      <c r="F25" s="345"/>
      <c r="G25" s="345"/>
      <c r="H25" s="346"/>
      <c r="I25" s="85">
        <f>SUM(I31:I36)</f>
        <v>31</v>
      </c>
      <c r="J25" s="85">
        <f>SUM(J31:J36)</f>
        <v>0</v>
      </c>
      <c r="K25" s="219"/>
      <c r="L25" s="219"/>
      <c r="M25" s="220"/>
    </row>
    <row r="26" spans="1:23" ht="19.05" customHeight="1" x14ac:dyDescent="0.25">
      <c r="A26" s="126" t="b">
        <v>0</v>
      </c>
      <c r="B26" s="126" t="b">
        <v>0</v>
      </c>
      <c r="C26" s="126" t="b">
        <v>0</v>
      </c>
      <c r="D26" s="49"/>
      <c r="E26" s="50" t="s">
        <v>19</v>
      </c>
      <c r="F26" s="333" t="s">
        <v>86</v>
      </c>
      <c r="G26" s="333"/>
      <c r="H26" s="333"/>
      <c r="I26" s="327" t="s">
        <v>0</v>
      </c>
      <c r="J26" s="328" t="s">
        <v>0</v>
      </c>
      <c r="K26" s="266"/>
      <c r="L26" s="214"/>
      <c r="M26" s="318"/>
      <c r="N26" s="318"/>
      <c r="O26" s="318"/>
      <c r="P26" s="77"/>
      <c r="Q26" s="77"/>
      <c r="R26" s="77"/>
      <c r="S26" s="77"/>
      <c r="T26" s="77"/>
      <c r="U26" s="77"/>
      <c r="V26" s="77"/>
      <c r="W26" s="77"/>
    </row>
    <row r="27" spans="1:23" s="76" customFormat="1" ht="19.05" customHeight="1" x14ac:dyDescent="0.25">
      <c r="A27" s="126" t="b">
        <v>0</v>
      </c>
      <c r="B27" s="126" t="b">
        <v>0</v>
      </c>
      <c r="C27" s="126" t="b">
        <v>0</v>
      </c>
      <c r="D27" s="49"/>
      <c r="E27" s="50" t="s">
        <v>20</v>
      </c>
      <c r="F27" s="333" t="s">
        <v>87</v>
      </c>
      <c r="G27" s="333"/>
      <c r="H27" s="333"/>
      <c r="I27" s="327" t="s">
        <v>0</v>
      </c>
      <c r="J27" s="328" t="s">
        <v>0</v>
      </c>
      <c r="K27" s="266"/>
      <c r="L27" s="214"/>
      <c r="M27" s="318"/>
      <c r="N27" s="318"/>
      <c r="O27" s="318"/>
      <c r="P27" s="77"/>
      <c r="Q27" s="77"/>
      <c r="R27" s="77"/>
      <c r="S27" s="77"/>
      <c r="T27" s="77"/>
      <c r="U27" s="77"/>
      <c r="V27" s="77"/>
      <c r="W27" s="77"/>
    </row>
    <row r="28" spans="1:23" s="77" customFormat="1" ht="19.05" customHeight="1" x14ac:dyDescent="0.25">
      <c r="A28" s="126" t="b">
        <v>0</v>
      </c>
      <c r="B28" s="126" t="b">
        <v>0</v>
      </c>
      <c r="C28" s="126" t="b">
        <v>0</v>
      </c>
      <c r="D28" s="49"/>
      <c r="E28" s="50" t="s">
        <v>21</v>
      </c>
      <c r="F28" s="333" t="s">
        <v>88</v>
      </c>
      <c r="G28" s="333"/>
      <c r="H28" s="333"/>
      <c r="I28" s="327" t="s">
        <v>0</v>
      </c>
      <c r="J28" s="328" t="s">
        <v>0</v>
      </c>
      <c r="K28" s="266"/>
      <c r="L28" s="214"/>
      <c r="M28" s="318"/>
      <c r="N28" s="318"/>
      <c r="O28" s="318"/>
    </row>
    <row r="29" spans="1:23" s="77" customFormat="1" ht="19.05" customHeight="1" x14ac:dyDescent="0.25">
      <c r="A29" s="126" t="b">
        <v>0</v>
      </c>
      <c r="B29" s="126" t="b">
        <v>0</v>
      </c>
      <c r="C29" s="126" t="b">
        <v>0</v>
      </c>
      <c r="D29" s="49"/>
      <c r="E29" s="50" t="s">
        <v>22</v>
      </c>
      <c r="F29" s="333" t="s">
        <v>89</v>
      </c>
      <c r="G29" s="333"/>
      <c r="H29" s="333"/>
      <c r="I29" s="327" t="s">
        <v>0</v>
      </c>
      <c r="J29" s="328" t="s">
        <v>0</v>
      </c>
      <c r="K29" s="266"/>
      <c r="L29" s="214"/>
      <c r="M29" s="318"/>
      <c r="N29" s="318"/>
      <c r="O29" s="318"/>
    </row>
    <row r="30" spans="1:23" s="77" customFormat="1" ht="19.05" customHeight="1" x14ac:dyDescent="0.25">
      <c r="A30" s="126" t="b">
        <v>0</v>
      </c>
      <c r="B30" s="126" t="b">
        <v>0</v>
      </c>
      <c r="C30" s="126" t="b">
        <v>0</v>
      </c>
      <c r="D30" s="86"/>
      <c r="E30" s="134" t="s">
        <v>85</v>
      </c>
      <c r="F30" s="333" t="s">
        <v>3</v>
      </c>
      <c r="G30" s="333"/>
      <c r="H30" s="333"/>
      <c r="I30" s="327" t="s">
        <v>0</v>
      </c>
      <c r="J30" s="328" t="s">
        <v>0</v>
      </c>
      <c r="K30" s="265"/>
      <c r="L30" s="214"/>
      <c r="M30" s="318"/>
      <c r="N30" s="318"/>
      <c r="O30" s="318"/>
    </row>
    <row r="31" spans="1:23" s="77" customFormat="1" ht="19.05" customHeight="1" x14ac:dyDescent="0.25">
      <c r="A31" s="110">
        <v>0</v>
      </c>
      <c r="B31" s="110">
        <v>0</v>
      </c>
      <c r="C31" s="110">
        <v>0</v>
      </c>
      <c r="D31" s="57"/>
      <c r="E31" s="87" t="s">
        <v>23</v>
      </c>
      <c r="F31" s="342" t="s">
        <v>90</v>
      </c>
      <c r="G31" s="343"/>
      <c r="H31" s="344"/>
      <c r="I31" s="88">
        <v>5</v>
      </c>
      <c r="J31" s="58">
        <f t="shared" ref="J31:J36" si="3">SUM(A31:B31)</f>
        <v>0</v>
      </c>
      <c r="K31" s="265" t="str">
        <f t="shared" ref="K31:K36" si="4">IF(J31&gt;I31,"⚠","")</f>
        <v/>
      </c>
      <c r="L31" s="214"/>
      <c r="M31" s="318"/>
      <c r="N31" s="318"/>
      <c r="O31" s="318"/>
    </row>
    <row r="32" spans="1:23" s="77" customFormat="1" ht="19.05" customHeight="1" x14ac:dyDescent="0.25">
      <c r="A32" s="110">
        <v>0</v>
      </c>
      <c r="B32" s="110">
        <v>0</v>
      </c>
      <c r="C32" s="110">
        <v>0</v>
      </c>
      <c r="D32" s="57"/>
      <c r="E32" s="87" t="s">
        <v>24</v>
      </c>
      <c r="F32" s="351" t="s">
        <v>91</v>
      </c>
      <c r="G32" s="352"/>
      <c r="H32" s="352"/>
      <c r="I32" s="89">
        <v>12</v>
      </c>
      <c r="J32" s="58">
        <f t="shared" si="3"/>
        <v>0</v>
      </c>
      <c r="K32" s="265" t="str">
        <f t="shared" si="4"/>
        <v/>
      </c>
      <c r="L32" s="214"/>
      <c r="M32" s="318"/>
      <c r="N32" s="318"/>
      <c r="O32" s="318"/>
    </row>
    <row r="33" spans="1:15" s="77" customFormat="1" ht="19.05" customHeight="1" x14ac:dyDescent="0.25">
      <c r="A33" s="110">
        <v>0</v>
      </c>
      <c r="B33" s="110">
        <v>0</v>
      </c>
      <c r="C33" s="110">
        <v>0</v>
      </c>
      <c r="D33" s="48"/>
      <c r="E33" s="87" t="s">
        <v>25</v>
      </c>
      <c r="F33" s="357" t="s">
        <v>92</v>
      </c>
      <c r="G33" s="358"/>
      <c r="H33" s="359"/>
      <c r="I33" s="89">
        <v>5</v>
      </c>
      <c r="J33" s="58">
        <f t="shared" si="3"/>
        <v>0</v>
      </c>
      <c r="K33" s="265" t="str">
        <f t="shared" si="4"/>
        <v/>
      </c>
      <c r="L33" s="214"/>
      <c r="M33" s="318"/>
      <c r="N33" s="318"/>
      <c r="O33" s="318"/>
    </row>
    <row r="34" spans="1:15" s="77" customFormat="1" ht="19.05" customHeight="1" x14ac:dyDescent="0.25">
      <c r="A34" s="110">
        <v>0</v>
      </c>
      <c r="B34" s="110">
        <v>0</v>
      </c>
      <c r="C34" s="110">
        <v>0</v>
      </c>
      <c r="D34" s="90"/>
      <c r="E34" s="87" t="s">
        <v>26</v>
      </c>
      <c r="F34" s="357" t="s">
        <v>93</v>
      </c>
      <c r="G34" s="358"/>
      <c r="H34" s="359"/>
      <c r="I34" s="89">
        <v>4</v>
      </c>
      <c r="J34" s="58">
        <f t="shared" si="3"/>
        <v>0</v>
      </c>
      <c r="K34" s="265" t="str">
        <f t="shared" si="4"/>
        <v/>
      </c>
      <c r="L34" s="214"/>
      <c r="M34" s="318"/>
      <c r="N34" s="318"/>
      <c r="O34" s="318"/>
    </row>
    <row r="35" spans="1:15" s="77" customFormat="1" ht="19.05" customHeight="1" x14ac:dyDescent="0.25">
      <c r="A35" s="110">
        <v>0</v>
      </c>
      <c r="B35" s="110">
        <v>0</v>
      </c>
      <c r="C35" s="110">
        <v>0</v>
      </c>
      <c r="D35" s="57"/>
      <c r="E35" s="87" t="s">
        <v>27</v>
      </c>
      <c r="F35" s="360" t="s">
        <v>94</v>
      </c>
      <c r="G35" s="361"/>
      <c r="H35" s="362"/>
      <c r="I35" s="89">
        <v>3</v>
      </c>
      <c r="J35" s="58">
        <f t="shared" si="3"/>
        <v>0</v>
      </c>
      <c r="K35" s="265" t="str">
        <f t="shared" si="4"/>
        <v/>
      </c>
      <c r="L35" s="214"/>
      <c r="M35" s="318"/>
      <c r="N35" s="318"/>
      <c r="O35" s="318"/>
    </row>
    <row r="36" spans="1:15" s="77" customFormat="1" ht="19.05" customHeight="1" x14ac:dyDescent="0.25">
      <c r="A36" s="110">
        <v>0</v>
      </c>
      <c r="B36" s="110">
        <v>0</v>
      </c>
      <c r="C36" s="110">
        <v>0</v>
      </c>
      <c r="D36" s="57"/>
      <c r="E36" s="87" t="s">
        <v>28</v>
      </c>
      <c r="F36" s="360" t="s">
        <v>95</v>
      </c>
      <c r="G36" s="361"/>
      <c r="H36" s="362"/>
      <c r="I36" s="89">
        <v>2</v>
      </c>
      <c r="J36" s="58">
        <f t="shared" si="3"/>
        <v>0</v>
      </c>
      <c r="K36" s="265" t="str">
        <f t="shared" si="4"/>
        <v/>
      </c>
      <c r="L36" s="214"/>
      <c r="M36" s="318"/>
      <c r="N36" s="318"/>
      <c r="O36" s="318"/>
    </row>
    <row r="37" spans="1:15" s="77" customFormat="1" ht="19.05" customHeight="1" x14ac:dyDescent="0.25">
      <c r="A37" s="75"/>
      <c r="B37" s="75"/>
      <c r="C37" s="75"/>
      <c r="D37" s="57"/>
      <c r="E37" s="91"/>
      <c r="F37" s="92"/>
      <c r="G37" s="92"/>
      <c r="H37" s="92"/>
      <c r="I37" s="93"/>
      <c r="J37" s="93"/>
      <c r="K37" s="215"/>
      <c r="L37" s="215"/>
      <c r="M37" s="216"/>
    </row>
    <row r="38" spans="1:15" s="77" customFormat="1" ht="19.05" customHeight="1" x14ac:dyDescent="0.25">
      <c r="A38" s="75"/>
      <c r="B38" s="75"/>
      <c r="C38" s="75"/>
      <c r="D38" s="57"/>
      <c r="E38" s="353" t="s">
        <v>42</v>
      </c>
      <c r="F38" s="353"/>
      <c r="G38" s="353"/>
      <c r="H38" s="354"/>
      <c r="I38" s="94">
        <f>SUM(I41:I45)</f>
        <v>26</v>
      </c>
      <c r="J38" s="94">
        <f>SUM(J41:J45)</f>
        <v>0</v>
      </c>
      <c r="K38" s="219"/>
      <c r="L38" s="219"/>
      <c r="M38" s="220"/>
    </row>
    <row r="39" spans="1:15" s="64" customFormat="1" ht="19.05" customHeight="1" x14ac:dyDescent="0.25">
      <c r="A39" s="126" t="b">
        <v>0</v>
      </c>
      <c r="B39" s="126" t="b">
        <v>0</v>
      </c>
      <c r="C39" s="126" t="b">
        <v>0</v>
      </c>
      <c r="D39" s="49"/>
      <c r="E39" s="134" t="s">
        <v>96</v>
      </c>
      <c r="F39" s="333" t="s">
        <v>122</v>
      </c>
      <c r="G39" s="333"/>
      <c r="H39" s="333"/>
      <c r="I39" s="327" t="s">
        <v>0</v>
      </c>
      <c r="J39" s="328"/>
      <c r="K39" s="265"/>
      <c r="L39" s="214"/>
      <c r="M39" s="318"/>
      <c r="N39" s="318"/>
      <c r="O39" s="318"/>
    </row>
    <row r="40" spans="1:15" s="76" customFormat="1" ht="19.05" customHeight="1" x14ac:dyDescent="0.25">
      <c r="A40" s="126" t="b">
        <v>0</v>
      </c>
      <c r="B40" s="126" t="b">
        <v>0</v>
      </c>
      <c r="C40" s="126" t="b">
        <v>0</v>
      </c>
      <c r="D40" s="49"/>
      <c r="E40" s="134" t="s">
        <v>97</v>
      </c>
      <c r="F40" s="333" t="s">
        <v>123</v>
      </c>
      <c r="G40" s="333"/>
      <c r="H40" s="333"/>
      <c r="I40" s="327" t="s">
        <v>0</v>
      </c>
      <c r="J40" s="328"/>
      <c r="K40" s="265"/>
      <c r="L40" s="214"/>
      <c r="M40" s="318"/>
      <c r="N40" s="318"/>
      <c r="O40" s="318"/>
    </row>
    <row r="41" spans="1:15" s="76" customFormat="1" ht="19.05" customHeight="1" x14ac:dyDescent="0.25">
      <c r="A41" s="110">
        <v>0</v>
      </c>
      <c r="B41" s="110">
        <v>0</v>
      </c>
      <c r="C41" s="110">
        <v>0</v>
      </c>
      <c r="D41" s="57"/>
      <c r="E41" s="135" t="s">
        <v>29</v>
      </c>
      <c r="F41" s="342" t="s">
        <v>101</v>
      </c>
      <c r="G41" s="343"/>
      <c r="H41" s="344"/>
      <c r="I41" s="55">
        <v>4</v>
      </c>
      <c r="J41" s="58">
        <f>SUM(A41:B41)</f>
        <v>0</v>
      </c>
      <c r="K41" s="265" t="str">
        <f t="shared" ref="K41:K45" si="5">IF(J41&gt;I41,"⚠","")</f>
        <v/>
      </c>
      <c r="L41" s="214"/>
      <c r="M41" s="318"/>
      <c r="N41" s="318"/>
      <c r="O41" s="318"/>
    </row>
    <row r="42" spans="1:15" s="76" customFormat="1" ht="19.05" customHeight="1" x14ac:dyDescent="0.25">
      <c r="A42" s="110">
        <v>0</v>
      </c>
      <c r="B42" s="110">
        <v>0</v>
      </c>
      <c r="C42" s="110">
        <v>0</v>
      </c>
      <c r="D42" s="57"/>
      <c r="E42" s="135" t="s">
        <v>30</v>
      </c>
      <c r="F42" s="342" t="s">
        <v>102</v>
      </c>
      <c r="G42" s="343"/>
      <c r="H42" s="344"/>
      <c r="I42" s="55">
        <v>4</v>
      </c>
      <c r="J42" s="58">
        <f t="shared" ref="J42:J45" si="6">SUM(A42:B42)</f>
        <v>0</v>
      </c>
      <c r="K42" s="265" t="str">
        <f t="shared" si="5"/>
        <v/>
      </c>
      <c r="L42" s="214"/>
      <c r="M42" s="318"/>
      <c r="N42" s="318"/>
      <c r="O42" s="318"/>
    </row>
    <row r="43" spans="1:15" s="76" customFormat="1" ht="19.05" customHeight="1" x14ac:dyDescent="0.25">
      <c r="A43" s="110">
        <v>0</v>
      </c>
      <c r="B43" s="110">
        <v>0</v>
      </c>
      <c r="C43" s="110">
        <v>0</v>
      </c>
      <c r="D43" s="57"/>
      <c r="E43" s="135" t="s">
        <v>98</v>
      </c>
      <c r="F43" s="342" t="s">
        <v>103</v>
      </c>
      <c r="G43" s="343"/>
      <c r="H43" s="344"/>
      <c r="I43" s="55">
        <v>4</v>
      </c>
      <c r="J43" s="58">
        <f>SUM(A43:B43)</f>
        <v>0</v>
      </c>
      <c r="K43" s="265" t="str">
        <f t="shared" si="5"/>
        <v/>
      </c>
      <c r="L43" s="214"/>
      <c r="M43" s="318"/>
      <c r="N43" s="318"/>
      <c r="O43" s="318"/>
    </row>
    <row r="44" spans="1:15" s="76" customFormat="1" ht="19.05" customHeight="1" x14ac:dyDescent="0.25">
      <c r="A44" s="110">
        <v>0</v>
      </c>
      <c r="B44" s="110">
        <v>0</v>
      </c>
      <c r="C44" s="110">
        <v>0</v>
      </c>
      <c r="D44" s="57"/>
      <c r="E44" s="135" t="s">
        <v>99</v>
      </c>
      <c r="F44" s="342" t="s">
        <v>104</v>
      </c>
      <c r="G44" s="343"/>
      <c r="H44" s="344"/>
      <c r="I44" s="55">
        <v>10</v>
      </c>
      <c r="J44" s="58">
        <f t="shared" si="6"/>
        <v>0</v>
      </c>
      <c r="K44" s="265" t="str">
        <f t="shared" si="5"/>
        <v/>
      </c>
      <c r="L44" s="214"/>
      <c r="M44" s="318"/>
      <c r="N44" s="318"/>
      <c r="O44" s="318"/>
    </row>
    <row r="45" spans="1:15" s="76" customFormat="1" ht="19.05" customHeight="1" x14ac:dyDescent="0.25">
      <c r="A45" s="110">
        <v>0</v>
      </c>
      <c r="B45" s="110">
        <v>0</v>
      </c>
      <c r="C45" s="110">
        <v>0</v>
      </c>
      <c r="D45" s="57"/>
      <c r="E45" s="135" t="s">
        <v>100</v>
      </c>
      <c r="F45" s="342" t="s">
        <v>105</v>
      </c>
      <c r="G45" s="343"/>
      <c r="H45" s="344"/>
      <c r="I45" s="55">
        <v>4</v>
      </c>
      <c r="J45" s="58">
        <f t="shared" si="6"/>
        <v>0</v>
      </c>
      <c r="K45" s="265" t="str">
        <f t="shared" si="5"/>
        <v/>
      </c>
      <c r="L45" s="214"/>
      <c r="M45" s="318"/>
      <c r="N45" s="318"/>
      <c r="O45" s="318"/>
    </row>
    <row r="46" spans="1:15" s="95" customFormat="1" ht="19.05" customHeight="1" x14ac:dyDescent="0.25">
      <c r="A46" s="75"/>
      <c r="B46" s="75"/>
      <c r="C46" s="75"/>
      <c r="D46" s="57"/>
      <c r="E46" s="96"/>
      <c r="F46" s="97"/>
      <c r="G46" s="97"/>
      <c r="H46" s="97"/>
      <c r="I46" s="97"/>
      <c r="J46" s="97"/>
      <c r="K46" s="215"/>
      <c r="L46" s="215"/>
      <c r="M46" s="216"/>
    </row>
    <row r="47" spans="1:15" s="95" customFormat="1" ht="19.05" customHeight="1" x14ac:dyDescent="0.25">
      <c r="A47" s="83"/>
      <c r="B47" s="83"/>
      <c r="C47" s="83"/>
      <c r="D47" s="57"/>
      <c r="E47" s="355" t="s">
        <v>43</v>
      </c>
      <c r="F47" s="355"/>
      <c r="G47" s="355"/>
      <c r="H47" s="356"/>
      <c r="I47" s="98">
        <f>SUM(I51:I55)</f>
        <v>18</v>
      </c>
      <c r="J47" s="98">
        <f>SUM(J51:J55)</f>
        <v>0</v>
      </c>
      <c r="K47" s="219"/>
      <c r="L47" s="219"/>
      <c r="M47" s="220"/>
    </row>
    <row r="48" spans="1:15" s="64" customFormat="1" ht="19.05" customHeight="1" x14ac:dyDescent="0.25">
      <c r="A48" s="126" t="b">
        <v>0</v>
      </c>
      <c r="B48" s="126" t="b">
        <v>0</v>
      </c>
      <c r="C48" s="126" t="b">
        <v>0</v>
      </c>
      <c r="D48" s="49"/>
      <c r="E48" s="50" t="s">
        <v>31</v>
      </c>
      <c r="F48" s="333" t="s">
        <v>107</v>
      </c>
      <c r="G48" s="333"/>
      <c r="H48" s="333"/>
      <c r="I48" s="327" t="s">
        <v>0</v>
      </c>
      <c r="J48" s="328" t="s">
        <v>0</v>
      </c>
      <c r="K48" s="215"/>
      <c r="L48" s="214"/>
      <c r="M48" s="318"/>
      <c r="N48" s="318"/>
      <c r="O48" s="318"/>
    </row>
    <row r="49" spans="1:20" s="76" customFormat="1" ht="19.05" customHeight="1" x14ac:dyDescent="0.25">
      <c r="A49" s="126" t="b">
        <v>0</v>
      </c>
      <c r="B49" s="126" t="b">
        <v>0</v>
      </c>
      <c r="C49" s="126" t="b">
        <v>0</v>
      </c>
      <c r="D49" s="49"/>
      <c r="E49" s="50" t="s">
        <v>32</v>
      </c>
      <c r="F49" s="333" t="s">
        <v>108</v>
      </c>
      <c r="G49" s="333"/>
      <c r="H49" s="333"/>
      <c r="I49" s="327" t="s">
        <v>0</v>
      </c>
      <c r="J49" s="328" t="s">
        <v>0</v>
      </c>
      <c r="K49" s="215"/>
      <c r="L49" s="214"/>
      <c r="M49" s="318"/>
      <c r="N49" s="318"/>
      <c r="O49" s="318"/>
    </row>
    <row r="50" spans="1:20" s="95" customFormat="1" ht="19.05" customHeight="1" x14ac:dyDescent="0.25">
      <c r="A50" s="126" t="b">
        <v>0</v>
      </c>
      <c r="B50" s="126" t="b">
        <v>0</v>
      </c>
      <c r="C50" s="126" t="b">
        <v>0</v>
      </c>
      <c r="D50" s="49"/>
      <c r="E50" s="134" t="s">
        <v>106</v>
      </c>
      <c r="F50" s="333" t="s">
        <v>109</v>
      </c>
      <c r="G50" s="333"/>
      <c r="H50" s="333"/>
      <c r="I50" s="327" t="s">
        <v>0</v>
      </c>
      <c r="J50" s="328" t="s">
        <v>0</v>
      </c>
      <c r="K50" s="215"/>
      <c r="L50" s="214"/>
      <c r="M50" s="318"/>
      <c r="N50" s="318"/>
      <c r="O50" s="318"/>
    </row>
    <row r="51" spans="1:20" s="95" customFormat="1" ht="19.05" customHeight="1" x14ac:dyDescent="0.25">
      <c r="A51" s="110">
        <v>0</v>
      </c>
      <c r="B51" s="110">
        <v>0</v>
      </c>
      <c r="C51" s="110">
        <v>0</v>
      </c>
      <c r="D51" s="57"/>
      <c r="E51" s="71" t="s">
        <v>33</v>
      </c>
      <c r="F51" s="339" t="s">
        <v>110</v>
      </c>
      <c r="G51" s="340"/>
      <c r="H51" s="341"/>
      <c r="I51" s="55">
        <v>2</v>
      </c>
      <c r="J51" s="58">
        <f>SUM(A51:B51)</f>
        <v>0</v>
      </c>
      <c r="K51" s="265" t="str">
        <f t="shared" ref="K51:K55" si="7">IF(J51&gt;I51,"⚠","")</f>
        <v/>
      </c>
      <c r="L51" s="214"/>
      <c r="M51" s="318"/>
      <c r="N51" s="318"/>
      <c r="O51" s="318"/>
    </row>
    <row r="52" spans="1:20" s="95" customFormat="1" ht="19.05" customHeight="1" x14ac:dyDescent="0.25">
      <c r="A52" s="110">
        <v>0</v>
      </c>
      <c r="B52" s="110">
        <v>0</v>
      </c>
      <c r="C52" s="110">
        <v>0</v>
      </c>
      <c r="D52" s="57"/>
      <c r="E52" s="71" t="s">
        <v>34</v>
      </c>
      <c r="F52" s="339" t="s">
        <v>111</v>
      </c>
      <c r="G52" s="340"/>
      <c r="H52" s="341"/>
      <c r="I52" s="55">
        <v>7</v>
      </c>
      <c r="J52" s="58">
        <f>SUM(A52:B52)</f>
        <v>0</v>
      </c>
      <c r="K52" s="265" t="str">
        <f t="shared" si="7"/>
        <v/>
      </c>
      <c r="L52" s="214"/>
      <c r="M52" s="318"/>
      <c r="N52" s="318"/>
      <c r="O52" s="318"/>
    </row>
    <row r="53" spans="1:20" s="95" customFormat="1" ht="19.05" customHeight="1" x14ac:dyDescent="0.25">
      <c r="A53" s="110">
        <v>0</v>
      </c>
      <c r="B53" s="110">
        <v>0</v>
      </c>
      <c r="C53" s="110">
        <v>0</v>
      </c>
      <c r="D53" s="57"/>
      <c r="E53" s="71" t="s">
        <v>35</v>
      </c>
      <c r="F53" s="339" t="s">
        <v>112</v>
      </c>
      <c r="G53" s="340"/>
      <c r="H53" s="341"/>
      <c r="I53" s="55">
        <v>2</v>
      </c>
      <c r="J53" s="58">
        <f>SUM(A53:B53)</f>
        <v>0</v>
      </c>
      <c r="K53" s="265" t="str">
        <f t="shared" si="7"/>
        <v/>
      </c>
      <c r="L53" s="214"/>
      <c r="M53" s="318"/>
      <c r="N53" s="318"/>
      <c r="O53" s="318"/>
    </row>
    <row r="54" spans="1:20" s="95" customFormat="1" ht="19.05" customHeight="1" x14ac:dyDescent="0.25">
      <c r="A54" s="110">
        <v>0</v>
      </c>
      <c r="B54" s="110">
        <v>0</v>
      </c>
      <c r="C54" s="110">
        <v>0</v>
      </c>
      <c r="D54" s="57"/>
      <c r="E54" s="71" t="s">
        <v>36</v>
      </c>
      <c r="F54" s="339" t="s">
        <v>6</v>
      </c>
      <c r="G54" s="340"/>
      <c r="H54" s="341"/>
      <c r="I54" s="55">
        <v>3</v>
      </c>
      <c r="J54" s="58">
        <f>SUM(A54:B54)</f>
        <v>0</v>
      </c>
      <c r="K54" s="265" t="str">
        <f t="shared" si="7"/>
        <v/>
      </c>
      <c r="L54" s="214"/>
      <c r="M54" s="318"/>
      <c r="N54" s="318"/>
      <c r="O54" s="318"/>
    </row>
    <row r="55" spans="1:20" s="95" customFormat="1" ht="19.05" customHeight="1" x14ac:dyDescent="0.25">
      <c r="A55" s="110">
        <v>0</v>
      </c>
      <c r="B55" s="110">
        <v>0</v>
      </c>
      <c r="C55" s="110">
        <v>0</v>
      </c>
      <c r="D55" s="57"/>
      <c r="E55" s="71" t="s">
        <v>37</v>
      </c>
      <c r="F55" s="339" t="s">
        <v>113</v>
      </c>
      <c r="G55" s="340"/>
      <c r="H55" s="341"/>
      <c r="I55" s="55">
        <v>4</v>
      </c>
      <c r="J55" s="58">
        <f>SUM(A55:B55)</f>
        <v>0</v>
      </c>
      <c r="K55" s="265" t="str">
        <f t="shared" si="7"/>
        <v/>
      </c>
      <c r="L55" s="214"/>
      <c r="M55" s="318"/>
      <c r="N55" s="318"/>
      <c r="O55" s="318"/>
    </row>
    <row r="56" spans="1:20" s="95" customFormat="1" ht="19.05" customHeight="1" x14ac:dyDescent="0.25">
      <c r="A56" s="78"/>
      <c r="B56" s="78"/>
      <c r="C56" s="78"/>
      <c r="D56" s="48"/>
      <c r="E56" s="99"/>
      <c r="F56" s="100"/>
      <c r="G56" s="100"/>
      <c r="H56" s="101"/>
      <c r="I56" s="102"/>
      <c r="J56" s="102"/>
      <c r="K56" s="215"/>
      <c r="L56" s="215"/>
      <c r="M56" s="216"/>
      <c r="S56" s="76"/>
      <c r="T56" s="76"/>
    </row>
    <row r="57" spans="1:20" s="95" customFormat="1" ht="19.05" customHeight="1" x14ac:dyDescent="0.25">
      <c r="A57" s="75"/>
      <c r="B57" s="75"/>
      <c r="C57" s="75"/>
      <c r="D57" s="57"/>
      <c r="E57" s="366" t="s">
        <v>44</v>
      </c>
      <c r="F57" s="366"/>
      <c r="G57" s="366"/>
      <c r="H57" s="367"/>
      <c r="I57" s="103">
        <f>SUM(I58:I68)</f>
        <v>10</v>
      </c>
      <c r="J57" s="103">
        <f>SUM(J58:J68)</f>
        <v>0</v>
      </c>
      <c r="K57" s="219"/>
      <c r="L57" s="219"/>
      <c r="M57" s="220"/>
      <c r="S57" s="76"/>
      <c r="T57" s="76"/>
    </row>
    <row r="58" spans="1:20" s="64" customFormat="1" ht="19.05" customHeight="1" x14ac:dyDescent="0.25">
      <c r="D58" s="57"/>
      <c r="E58" s="300" t="s">
        <v>38</v>
      </c>
      <c r="F58" s="363" t="s">
        <v>1</v>
      </c>
      <c r="G58" s="364"/>
      <c r="H58" s="365"/>
      <c r="I58" s="295">
        <v>9</v>
      </c>
      <c r="J58" s="296">
        <f>SUM(J59:J67)</f>
        <v>0</v>
      </c>
      <c r="K58" s="265" t="str">
        <f t="shared" ref="K58:K68" si="8">IF(J58&gt;I58,"⚠","")</f>
        <v/>
      </c>
      <c r="L58" s="214"/>
      <c r="M58" s="318"/>
      <c r="N58" s="318"/>
      <c r="O58" s="318"/>
      <c r="S58" s="76"/>
      <c r="T58" s="76"/>
    </row>
    <row r="59" spans="1:20" s="64" customFormat="1" ht="19.05" customHeight="1" x14ac:dyDescent="0.25">
      <c r="A59" s="110">
        <v>0</v>
      </c>
      <c r="B59" s="110">
        <v>0</v>
      </c>
      <c r="C59" s="110">
        <v>0</v>
      </c>
      <c r="D59" s="57"/>
      <c r="E59" s="65"/>
      <c r="F59" s="301" t="s">
        <v>140</v>
      </c>
      <c r="G59" s="298"/>
      <c r="H59" s="299" t="s">
        <v>149</v>
      </c>
      <c r="I59" s="294"/>
      <c r="J59" s="297">
        <f>SUM(A59:B59)</f>
        <v>0</v>
      </c>
      <c r="K59" s="287"/>
      <c r="L59" s="214"/>
      <c r="M59" s="318"/>
      <c r="N59" s="318"/>
      <c r="O59" s="318"/>
      <c r="S59" s="76"/>
      <c r="T59" s="76"/>
    </row>
    <row r="60" spans="1:20" s="64" customFormat="1" ht="19.05" customHeight="1" x14ac:dyDescent="0.25">
      <c r="A60" s="110">
        <v>0</v>
      </c>
      <c r="B60" s="110">
        <v>0</v>
      </c>
      <c r="C60" s="110">
        <v>0</v>
      </c>
      <c r="D60" s="57"/>
      <c r="F60" s="282" t="s">
        <v>141</v>
      </c>
      <c r="G60" s="283"/>
      <c r="H60" s="293" t="s">
        <v>149</v>
      </c>
      <c r="I60" s="292"/>
      <c r="J60" s="297">
        <f t="shared" ref="J60:J67" si="9">SUM(A60:B60)</f>
        <v>0</v>
      </c>
      <c r="K60" s="287"/>
      <c r="L60" s="214"/>
      <c r="M60" s="318"/>
      <c r="N60" s="318"/>
      <c r="O60" s="318"/>
      <c r="S60" s="76"/>
      <c r="T60" s="76"/>
    </row>
    <row r="61" spans="1:20" s="64" customFormat="1" ht="19.05" customHeight="1" x14ac:dyDescent="0.25">
      <c r="A61" s="110">
        <v>0</v>
      </c>
      <c r="B61" s="110">
        <v>0</v>
      </c>
      <c r="C61" s="110">
        <v>0</v>
      </c>
      <c r="D61" s="57"/>
      <c r="F61" s="282" t="s">
        <v>142</v>
      </c>
      <c r="G61" s="283"/>
      <c r="H61" s="293" t="s">
        <v>149</v>
      </c>
      <c r="I61" s="292"/>
      <c r="J61" s="297">
        <f t="shared" si="9"/>
        <v>0</v>
      </c>
      <c r="K61" s="287"/>
      <c r="L61" s="214"/>
      <c r="M61" s="318"/>
      <c r="N61" s="318"/>
      <c r="O61" s="318"/>
      <c r="S61" s="76"/>
      <c r="T61" s="76"/>
    </row>
    <row r="62" spans="1:20" s="64" customFormat="1" ht="19.05" customHeight="1" x14ac:dyDescent="0.25">
      <c r="A62" s="110">
        <v>0</v>
      </c>
      <c r="B62" s="110">
        <v>0</v>
      </c>
      <c r="C62" s="110">
        <v>0</v>
      </c>
      <c r="D62" s="57"/>
      <c r="F62" s="282" t="s">
        <v>143</v>
      </c>
      <c r="G62" s="283"/>
      <c r="H62" s="293" t="s">
        <v>149</v>
      </c>
      <c r="I62" s="292"/>
      <c r="J62" s="297">
        <f t="shared" si="9"/>
        <v>0</v>
      </c>
      <c r="K62" s="287"/>
      <c r="L62" s="214"/>
      <c r="M62" s="318"/>
      <c r="N62" s="318"/>
      <c r="O62" s="318"/>
      <c r="S62" s="76"/>
      <c r="T62" s="76"/>
    </row>
    <row r="63" spans="1:20" s="64" customFormat="1" ht="19.05" customHeight="1" x14ac:dyDescent="0.25">
      <c r="A63" s="110">
        <v>0</v>
      </c>
      <c r="B63" s="110">
        <v>0</v>
      </c>
      <c r="C63" s="110">
        <v>0</v>
      </c>
      <c r="D63" s="57"/>
      <c r="F63" s="282" t="s">
        <v>144</v>
      </c>
      <c r="G63" s="283"/>
      <c r="H63" s="293" t="s">
        <v>149</v>
      </c>
      <c r="I63" s="292"/>
      <c r="J63" s="297">
        <f t="shared" si="9"/>
        <v>0</v>
      </c>
      <c r="K63" s="287"/>
      <c r="L63" s="214"/>
      <c r="M63" s="318"/>
      <c r="N63" s="318"/>
      <c r="O63" s="318"/>
      <c r="S63" s="76"/>
      <c r="T63" s="76"/>
    </row>
    <row r="64" spans="1:20" s="64" customFormat="1" ht="19.05" customHeight="1" x14ac:dyDescent="0.25">
      <c r="A64" s="110">
        <v>0</v>
      </c>
      <c r="B64" s="110">
        <v>0</v>
      </c>
      <c r="C64" s="110">
        <v>0</v>
      </c>
      <c r="D64" s="57"/>
      <c r="F64" s="282" t="s">
        <v>145</v>
      </c>
      <c r="G64" s="283"/>
      <c r="H64" s="293" t="s">
        <v>149</v>
      </c>
      <c r="I64" s="292"/>
      <c r="J64" s="297">
        <f t="shared" si="9"/>
        <v>0</v>
      </c>
      <c r="K64" s="287"/>
      <c r="L64" s="214"/>
      <c r="M64" s="318"/>
      <c r="N64" s="318"/>
      <c r="O64" s="318"/>
      <c r="S64" s="76"/>
      <c r="T64" s="76"/>
    </row>
    <row r="65" spans="1:20" s="64" customFormat="1" ht="19.05" customHeight="1" x14ac:dyDescent="0.25">
      <c r="A65" s="110">
        <v>0</v>
      </c>
      <c r="B65" s="110">
        <v>0</v>
      </c>
      <c r="C65" s="110">
        <v>0</v>
      </c>
      <c r="D65" s="57"/>
      <c r="F65" s="282" t="s">
        <v>146</v>
      </c>
      <c r="G65" s="283"/>
      <c r="H65" s="293" t="s">
        <v>149</v>
      </c>
      <c r="I65" s="292"/>
      <c r="J65" s="297">
        <f t="shared" si="9"/>
        <v>0</v>
      </c>
      <c r="K65" s="287"/>
      <c r="L65" s="214"/>
      <c r="M65" s="318"/>
      <c r="N65" s="318"/>
      <c r="O65" s="318"/>
      <c r="S65" s="76"/>
      <c r="T65" s="76"/>
    </row>
    <row r="66" spans="1:20" s="64" customFormat="1" ht="19.05" customHeight="1" x14ac:dyDescent="0.25">
      <c r="A66" s="110">
        <v>0</v>
      </c>
      <c r="B66" s="110">
        <v>0</v>
      </c>
      <c r="C66" s="110">
        <v>0</v>
      </c>
      <c r="D66" s="57"/>
      <c r="F66" s="282" t="s">
        <v>147</v>
      </c>
      <c r="G66" s="283"/>
      <c r="H66" s="293" t="s">
        <v>149</v>
      </c>
      <c r="I66" s="292"/>
      <c r="J66" s="297">
        <f t="shared" si="9"/>
        <v>0</v>
      </c>
      <c r="K66" s="287"/>
      <c r="L66" s="214"/>
      <c r="M66" s="318"/>
      <c r="N66" s="318"/>
      <c r="O66" s="318"/>
      <c r="S66" s="76"/>
      <c r="T66" s="76"/>
    </row>
    <row r="67" spans="1:20" s="64" customFormat="1" ht="19.05" customHeight="1" x14ac:dyDescent="0.25">
      <c r="A67" s="110">
        <v>0</v>
      </c>
      <c r="B67" s="110">
        <v>0</v>
      </c>
      <c r="C67" s="110">
        <v>0</v>
      </c>
      <c r="D67" s="57"/>
      <c r="F67" s="282" t="s">
        <v>148</v>
      </c>
      <c r="G67" s="283"/>
      <c r="H67" s="293" t="s">
        <v>149</v>
      </c>
      <c r="I67" s="292"/>
      <c r="J67" s="297">
        <f t="shared" si="9"/>
        <v>0</v>
      </c>
      <c r="K67" s="287"/>
      <c r="L67" s="214"/>
      <c r="M67" s="318"/>
      <c r="N67" s="318"/>
      <c r="O67" s="318"/>
      <c r="S67" s="76"/>
      <c r="T67" s="76"/>
    </row>
    <row r="68" spans="1:20" s="64" customFormat="1" ht="19.05" customHeight="1" x14ac:dyDescent="0.25">
      <c r="A68" s="110">
        <v>0</v>
      </c>
      <c r="B68" s="110">
        <v>0</v>
      </c>
      <c r="C68" s="110">
        <v>0</v>
      </c>
      <c r="D68" s="57"/>
      <c r="E68" s="87" t="s">
        <v>114</v>
      </c>
      <c r="F68" s="339" t="s">
        <v>115</v>
      </c>
      <c r="G68" s="340"/>
      <c r="H68" s="338"/>
      <c r="I68" s="291">
        <v>1</v>
      </c>
      <c r="J68" s="288">
        <f>SUM(A68:B68)</f>
        <v>0</v>
      </c>
      <c r="K68" s="265" t="str">
        <f t="shared" si="8"/>
        <v/>
      </c>
      <c r="L68" s="214"/>
      <c r="M68" s="318"/>
      <c r="N68" s="318"/>
      <c r="O68" s="318"/>
      <c r="S68" s="76"/>
      <c r="T68" s="76"/>
    </row>
    <row r="69" spans="1:20" s="76" customFormat="1" ht="19.05" customHeight="1" x14ac:dyDescent="0.25">
      <c r="A69" s="83"/>
      <c r="B69" s="83"/>
      <c r="C69" s="83"/>
      <c r="D69" s="84"/>
      <c r="E69" s="70"/>
      <c r="F69" s="70"/>
      <c r="G69" s="70"/>
      <c r="H69" s="70"/>
      <c r="I69" s="70"/>
      <c r="J69" s="70"/>
      <c r="K69" s="221"/>
      <c r="L69" s="221"/>
      <c r="M69" s="222"/>
      <c r="N69" s="281"/>
    </row>
    <row r="70" spans="1:20" s="95" customFormat="1" ht="19.05" customHeight="1" x14ac:dyDescent="0.25">
      <c r="A70" s="104">
        <f>SUM(A16:A18,A22:A23,A31:A36,A41:A45,A51:A55,A59:A68,A13)</f>
        <v>0</v>
      </c>
      <c r="B70" s="104">
        <f>SUM(B16:B18,B22:B23,B31:B36,B41:B45,B51:B55,B59:B68,B13)</f>
        <v>0</v>
      </c>
      <c r="C70" s="104">
        <f>SUM(C16:C18,C22:C23,C31:C36,C41:C45,C51:C55,C59:C68,C13)</f>
        <v>0</v>
      </c>
      <c r="D70" s="104"/>
      <c r="E70" s="350" t="s">
        <v>4</v>
      </c>
      <c r="F70" s="350"/>
      <c r="G70" s="350"/>
      <c r="H70" s="105"/>
      <c r="I70" s="104">
        <f>SUM(I16:I18,I22:I23,I31:I36,I41:I45,I51:I55,I58:I68,I13)</f>
        <v>110</v>
      </c>
      <c r="J70" s="104">
        <f>SUM(J16:J18,J22:J23,J31:J36,J41:J45,J51:J55,J58:J68,J13)</f>
        <v>0</v>
      </c>
      <c r="K70" s="267"/>
      <c r="L70" s="223"/>
      <c r="M70" s="224"/>
      <c r="N70" s="224"/>
      <c r="O70" s="224"/>
      <c r="S70" s="76"/>
      <c r="T70" s="76"/>
    </row>
    <row r="71" spans="1:20" s="64" customFormat="1" ht="19.05" customHeight="1" x14ac:dyDescent="0.25">
      <c r="A71" s="65"/>
      <c r="B71" s="65"/>
      <c r="C71" s="65"/>
      <c r="D71" s="65"/>
      <c r="E71" s="65"/>
      <c r="F71" s="107"/>
      <c r="G71" s="65"/>
      <c r="H71" s="66"/>
      <c r="I71" s="66"/>
      <c r="J71" s="66"/>
      <c r="K71" s="268"/>
      <c r="L71" s="66"/>
      <c r="M71" s="198"/>
      <c r="N71" s="281"/>
      <c r="S71" s="140"/>
      <c r="T71" s="76"/>
    </row>
    <row r="72" spans="1:20" s="106" customFormat="1" ht="21" customHeight="1" x14ac:dyDescent="0.25">
      <c r="A72" s="34"/>
      <c r="B72" s="34"/>
      <c r="C72" s="34"/>
      <c r="D72" s="34"/>
      <c r="E72" s="40"/>
      <c r="F72" s="40"/>
      <c r="G72" s="40"/>
      <c r="H72" s="40"/>
      <c r="I72" s="40"/>
      <c r="J72" s="40"/>
      <c r="K72" s="219"/>
      <c r="L72" s="77"/>
      <c r="M72" s="130"/>
      <c r="N72" s="197"/>
      <c r="S72" s="140"/>
      <c r="T72" s="76"/>
    </row>
    <row r="73" spans="1:20" s="64" customFormat="1" x14ac:dyDescent="0.25">
      <c r="A73" s="34"/>
      <c r="B73" s="34"/>
      <c r="C73" s="34"/>
      <c r="D73" s="34"/>
      <c r="E73" s="40"/>
      <c r="F73" s="40"/>
      <c r="G73" s="40"/>
      <c r="H73" s="40"/>
      <c r="I73" s="40"/>
      <c r="J73" s="40"/>
      <c r="K73" s="219"/>
      <c r="L73" s="77"/>
      <c r="M73" s="130"/>
      <c r="O73" s="65"/>
      <c r="P73" s="65"/>
      <c r="Q73" s="65"/>
      <c r="R73" s="65"/>
      <c r="S73" s="76"/>
      <c r="T73" s="76"/>
    </row>
    <row r="74" spans="1:20" x14ac:dyDescent="0.25">
      <c r="S74" s="76"/>
      <c r="T74" s="76"/>
    </row>
    <row r="75" spans="1:20" x14ac:dyDescent="0.25">
      <c r="S75" s="76"/>
      <c r="T75" s="76"/>
    </row>
    <row r="76" spans="1:20" x14ac:dyDescent="0.25">
      <c r="S76" s="76"/>
      <c r="T76" s="76"/>
    </row>
  </sheetData>
  <mergeCells count="113">
    <mergeCell ref="E70:G70"/>
    <mergeCell ref="F32:H32"/>
    <mergeCell ref="E38:H38"/>
    <mergeCell ref="E47:H47"/>
    <mergeCell ref="F48:H48"/>
    <mergeCell ref="F49:H49"/>
    <mergeCell ref="F34:H34"/>
    <mergeCell ref="F35:H35"/>
    <mergeCell ref="F36:H36"/>
    <mergeCell ref="F39:H39"/>
    <mergeCell ref="F40:H40"/>
    <mergeCell ref="F51:H51"/>
    <mergeCell ref="F55:H55"/>
    <mergeCell ref="F50:H50"/>
    <mergeCell ref="F33:H33"/>
    <mergeCell ref="F54:H54"/>
    <mergeCell ref="F58:H58"/>
    <mergeCell ref="F68:H68"/>
    <mergeCell ref="F41:H41"/>
    <mergeCell ref="F42:H42"/>
    <mergeCell ref="F43:H43"/>
    <mergeCell ref="F44:H44"/>
    <mergeCell ref="E57:H57"/>
    <mergeCell ref="F53:H53"/>
    <mergeCell ref="F52:H52"/>
    <mergeCell ref="F45:H45"/>
    <mergeCell ref="I29:J29"/>
    <mergeCell ref="I10:J10"/>
    <mergeCell ref="I11:J11"/>
    <mergeCell ref="I12:J12"/>
    <mergeCell ref="I26:J26"/>
    <mergeCell ref="I27:J27"/>
    <mergeCell ref="I28:J28"/>
    <mergeCell ref="E25:H25"/>
    <mergeCell ref="F27:H27"/>
    <mergeCell ref="E15:H15"/>
    <mergeCell ref="F19:H19"/>
    <mergeCell ref="F29:H29"/>
    <mergeCell ref="F10:H10"/>
    <mergeCell ref="F11:H11"/>
    <mergeCell ref="I50:J50"/>
    <mergeCell ref="I30:J30"/>
    <mergeCell ref="I39:J39"/>
    <mergeCell ref="I40:J40"/>
    <mergeCell ref="I48:J48"/>
    <mergeCell ref="I49:J49"/>
    <mergeCell ref="F30:H30"/>
    <mergeCell ref="F31:H31"/>
    <mergeCell ref="P3:R3"/>
    <mergeCell ref="P4:R4"/>
    <mergeCell ref="I21:J21"/>
    <mergeCell ref="E9:H9"/>
    <mergeCell ref="F12:H12"/>
    <mergeCell ref="F13:H13"/>
    <mergeCell ref="F28:H28"/>
    <mergeCell ref="E20:H20"/>
    <mergeCell ref="F16:H16"/>
    <mergeCell ref="F17:H17"/>
    <mergeCell ref="F18:H18"/>
    <mergeCell ref="F23:H23"/>
    <mergeCell ref="F26:H26"/>
    <mergeCell ref="F21:H21"/>
    <mergeCell ref="F22:H22"/>
    <mergeCell ref="M27:O27"/>
    <mergeCell ref="M28:O28"/>
    <mergeCell ref="M29:O29"/>
    <mergeCell ref="M30:O30"/>
    <mergeCell ref="M31:O31"/>
    <mergeCell ref="M8:O8"/>
    <mergeCell ref="M10:O10"/>
    <mergeCell ref="M11:O11"/>
    <mergeCell ref="M12:O12"/>
    <mergeCell ref="M13:O13"/>
    <mergeCell ref="M16:O16"/>
    <mergeCell ref="M17:O17"/>
    <mergeCell ref="M18:O18"/>
    <mergeCell ref="M21:O21"/>
    <mergeCell ref="M22:O22"/>
    <mergeCell ref="M23:O23"/>
    <mergeCell ref="M26:O26"/>
    <mergeCell ref="M40:O40"/>
    <mergeCell ref="M41:O41"/>
    <mergeCell ref="M42:O42"/>
    <mergeCell ref="M43:O43"/>
    <mergeCell ref="M32:O32"/>
    <mergeCell ref="M33:O33"/>
    <mergeCell ref="M34:O34"/>
    <mergeCell ref="M35:O35"/>
    <mergeCell ref="M36:O36"/>
    <mergeCell ref="M68:O68"/>
    <mergeCell ref="I6:I8"/>
    <mergeCell ref="J6:J8"/>
    <mergeCell ref="M63:O63"/>
    <mergeCell ref="M64:O64"/>
    <mergeCell ref="M65:O65"/>
    <mergeCell ref="M66:O66"/>
    <mergeCell ref="M67:O67"/>
    <mergeCell ref="M58:O58"/>
    <mergeCell ref="M59:O59"/>
    <mergeCell ref="M60:O60"/>
    <mergeCell ref="M61:O61"/>
    <mergeCell ref="M62:O62"/>
    <mergeCell ref="M51:O51"/>
    <mergeCell ref="M52:O52"/>
    <mergeCell ref="M53:O53"/>
    <mergeCell ref="M54:O54"/>
    <mergeCell ref="M55:O55"/>
    <mergeCell ref="M44:O44"/>
    <mergeCell ref="M45:O45"/>
    <mergeCell ref="M48:O48"/>
    <mergeCell ref="M49:O49"/>
    <mergeCell ref="M50:O50"/>
    <mergeCell ref="M39:O39"/>
  </mergeCells>
  <phoneticPr fontId="17" type="noConversion"/>
  <conditionalFormatting sqref="A13">
    <cfRule type="expression" dxfId="97" priority="36">
      <formula>$A$13&gt;$I$13</formula>
    </cfRule>
  </conditionalFormatting>
  <conditionalFormatting sqref="A16">
    <cfRule type="expression" dxfId="96" priority="178">
      <formula>$A$16&gt;$I$16</formula>
    </cfRule>
  </conditionalFormatting>
  <conditionalFormatting sqref="A17">
    <cfRule type="expression" dxfId="95" priority="166">
      <formula>$A$17&gt;$I$17</formula>
    </cfRule>
  </conditionalFormatting>
  <conditionalFormatting sqref="A18">
    <cfRule type="expression" dxfId="94" priority="162">
      <formula>$A$18&gt;$I$18</formula>
    </cfRule>
  </conditionalFormatting>
  <conditionalFormatting sqref="A22">
    <cfRule type="expression" dxfId="93" priority="139">
      <formula>$A$22&gt;$I$22</formula>
    </cfRule>
  </conditionalFormatting>
  <conditionalFormatting sqref="A23">
    <cfRule type="expression" dxfId="92" priority="135">
      <formula>$A$23&gt;$I$23</formula>
    </cfRule>
  </conditionalFormatting>
  <conditionalFormatting sqref="A31">
    <cfRule type="expression" dxfId="91" priority="121">
      <formula>$A$31&gt;$I$31</formula>
    </cfRule>
  </conditionalFormatting>
  <conditionalFormatting sqref="A32">
    <cfRule type="expression" dxfId="90" priority="117">
      <formula>$A$32&gt;$I$32</formula>
    </cfRule>
  </conditionalFormatting>
  <conditionalFormatting sqref="A33">
    <cfRule type="expression" dxfId="89" priority="113">
      <formula>$A$33&gt;$I$33</formula>
    </cfRule>
  </conditionalFormatting>
  <conditionalFormatting sqref="A34">
    <cfRule type="expression" dxfId="88" priority="109">
      <formula>$A$34&gt;$I$34</formula>
    </cfRule>
  </conditionalFormatting>
  <conditionalFormatting sqref="A35">
    <cfRule type="expression" dxfId="87" priority="105">
      <formula>$A$35&gt;$I$35</formula>
    </cfRule>
  </conditionalFormatting>
  <conditionalFormatting sqref="A36">
    <cfRule type="expression" dxfId="86" priority="101">
      <formula>$A$36&gt;$I$36</formula>
    </cfRule>
  </conditionalFormatting>
  <conditionalFormatting sqref="A41">
    <cfRule type="expression" dxfId="85" priority="26">
      <formula>$A$41&gt;$I$41</formula>
    </cfRule>
  </conditionalFormatting>
  <conditionalFormatting sqref="A42">
    <cfRule type="expression" dxfId="84" priority="22">
      <formula>$A$42&gt;$I$42</formula>
    </cfRule>
  </conditionalFormatting>
  <conditionalFormatting sqref="A43">
    <cfRule type="expression" dxfId="83" priority="18">
      <formula>$A$43&gt;$I$43</formula>
    </cfRule>
  </conditionalFormatting>
  <conditionalFormatting sqref="A44">
    <cfRule type="expression" dxfId="82" priority="9">
      <formula>$A$44&gt;$I$44</formula>
    </cfRule>
  </conditionalFormatting>
  <conditionalFormatting sqref="A45">
    <cfRule type="expression" dxfId="81" priority="5">
      <formula>$A$45&gt;$I$45</formula>
    </cfRule>
  </conditionalFormatting>
  <conditionalFormatting sqref="A51">
    <cfRule type="expression" dxfId="80" priority="75">
      <formula>$A$51&gt;$I$51</formula>
    </cfRule>
  </conditionalFormatting>
  <conditionalFormatting sqref="A52">
    <cfRule type="expression" dxfId="79" priority="71">
      <formula>$A$52&gt;$I$52</formula>
    </cfRule>
  </conditionalFormatting>
  <conditionalFormatting sqref="A53">
    <cfRule type="expression" dxfId="78" priority="67">
      <formula>$A$53&gt;$I$53</formula>
    </cfRule>
  </conditionalFormatting>
  <conditionalFormatting sqref="A54">
    <cfRule type="expression" dxfId="77" priority="63">
      <formula>$A$54&gt;$I$54</formula>
    </cfRule>
  </conditionalFormatting>
  <conditionalFormatting sqref="A55">
    <cfRule type="expression" dxfId="76" priority="59">
      <formula>$A$55&gt;$I$55</formula>
    </cfRule>
  </conditionalFormatting>
  <conditionalFormatting sqref="A68">
    <cfRule type="expression" dxfId="75" priority="42">
      <formula>$A$68&gt;$I$68</formula>
    </cfRule>
  </conditionalFormatting>
  <conditionalFormatting sqref="A13:C13 J13">
    <cfRule type="expression" dxfId="74" priority="33">
      <formula>$J$13&gt;$I$13</formula>
    </cfRule>
  </conditionalFormatting>
  <conditionalFormatting sqref="A16:C16 J16">
    <cfRule type="expression" dxfId="73" priority="181">
      <formula>$J$16&gt;$I$16</formula>
    </cfRule>
  </conditionalFormatting>
  <conditionalFormatting sqref="A17:C17 J17">
    <cfRule type="expression" dxfId="72" priority="163">
      <formula>$J$17&gt;$I$17</formula>
    </cfRule>
  </conditionalFormatting>
  <conditionalFormatting sqref="A18:C18 J18">
    <cfRule type="expression" dxfId="71" priority="158">
      <formula>$J$18&gt;$I$18</formula>
    </cfRule>
  </conditionalFormatting>
  <conditionalFormatting sqref="A22:C22 J22">
    <cfRule type="expression" dxfId="70" priority="136">
      <formula>$J$22&gt;$I$22</formula>
    </cfRule>
  </conditionalFormatting>
  <conditionalFormatting sqref="A23:C23 J23">
    <cfRule type="expression" dxfId="69" priority="132">
      <formula>$J$23&gt;$I$23</formula>
    </cfRule>
  </conditionalFormatting>
  <conditionalFormatting sqref="A31:C31 J31">
    <cfRule type="expression" dxfId="68" priority="122">
      <formula>$J$31&gt;$I$31</formula>
    </cfRule>
  </conditionalFormatting>
  <conditionalFormatting sqref="A32:C32 J32">
    <cfRule type="expression" dxfId="67" priority="118">
      <formula>$J$32&gt;$I$32</formula>
    </cfRule>
  </conditionalFormatting>
  <conditionalFormatting sqref="A33:C33 J33">
    <cfRule type="expression" dxfId="66" priority="114">
      <formula>$J$33&gt;$I$33</formula>
    </cfRule>
  </conditionalFormatting>
  <conditionalFormatting sqref="A34:C34 J34">
    <cfRule type="expression" dxfId="65" priority="110">
      <formula>$J$34&gt;$I$34</formula>
    </cfRule>
  </conditionalFormatting>
  <conditionalFormatting sqref="A35:C35 J35">
    <cfRule type="expression" dxfId="64" priority="106">
      <formula>$J$35&gt;$I$35</formula>
    </cfRule>
  </conditionalFormatting>
  <conditionalFormatting sqref="A36:C36 J36">
    <cfRule type="expression" dxfId="63" priority="102">
      <formula>$J$36&gt;$I$36</formula>
    </cfRule>
  </conditionalFormatting>
  <conditionalFormatting sqref="A41:C41 J41">
    <cfRule type="expression" dxfId="62" priority="23">
      <formula>$J$41&gt;$I$41</formula>
    </cfRule>
  </conditionalFormatting>
  <conditionalFormatting sqref="A42:C42 J42">
    <cfRule type="expression" dxfId="61" priority="19">
      <formula>$J$42&gt;$I$42</formula>
    </cfRule>
  </conditionalFormatting>
  <conditionalFormatting sqref="A43:C43 J43">
    <cfRule type="expression" dxfId="60" priority="10">
      <formula>$J$43&gt;$I$43</formula>
    </cfRule>
  </conditionalFormatting>
  <conditionalFormatting sqref="A44:C44 J44">
    <cfRule type="expression" dxfId="59" priority="6">
      <formula>$J$44&gt;$I$44</formula>
    </cfRule>
  </conditionalFormatting>
  <conditionalFormatting sqref="A45:C45 J45">
    <cfRule type="expression" dxfId="58" priority="2">
      <formula>$J$45&gt;$I$45</formula>
    </cfRule>
  </conditionalFormatting>
  <conditionalFormatting sqref="A51:C51 J51">
    <cfRule type="expression" dxfId="57" priority="76">
      <formula>$J$51&gt;$I$51</formula>
    </cfRule>
  </conditionalFormatting>
  <conditionalFormatting sqref="A52:C52 J52">
    <cfRule type="expression" dxfId="56" priority="72">
      <formula>$J$52&gt;$I$52</formula>
    </cfRule>
  </conditionalFormatting>
  <conditionalFormatting sqref="A53:C53 J53">
    <cfRule type="expression" dxfId="55" priority="68">
      <formula>$J$53&gt;$I$53</formula>
    </cfRule>
  </conditionalFormatting>
  <conditionalFormatting sqref="A54:C54 J54">
    <cfRule type="expression" dxfId="54" priority="64">
      <formula>$J$54&gt;$I$54</formula>
    </cfRule>
  </conditionalFormatting>
  <conditionalFormatting sqref="A55:C55 J55">
    <cfRule type="expression" dxfId="53" priority="60">
      <formula>$J$55&gt;$I$55</formula>
    </cfRule>
  </conditionalFormatting>
  <conditionalFormatting sqref="A59:C67">
    <cfRule type="expression" dxfId="52" priority="31">
      <formula>$A$59&gt;$I$58</formula>
    </cfRule>
  </conditionalFormatting>
  <conditionalFormatting sqref="A68:C68 J68">
    <cfRule type="expression" dxfId="51" priority="43">
      <formula>$J$68&gt;$I$68</formula>
    </cfRule>
  </conditionalFormatting>
  <conditionalFormatting sqref="B13">
    <cfRule type="expression" dxfId="50" priority="35">
      <formula>$B$13&gt;$I$13</formula>
    </cfRule>
  </conditionalFormatting>
  <conditionalFormatting sqref="B16">
    <cfRule type="expression" dxfId="49" priority="179">
      <formula>$B$16&gt;$I$16</formula>
    </cfRule>
  </conditionalFormatting>
  <conditionalFormatting sqref="B17">
    <cfRule type="expression" dxfId="48" priority="165">
      <formula>$B$17&gt;$I$17</formula>
    </cfRule>
  </conditionalFormatting>
  <conditionalFormatting sqref="B18">
    <cfRule type="expression" dxfId="47" priority="160">
      <formula>$B$18&gt;$I$18</formula>
    </cfRule>
  </conditionalFormatting>
  <conditionalFormatting sqref="B22">
    <cfRule type="expression" dxfId="46" priority="138">
      <formula>$B$22&gt;$I$22</formula>
    </cfRule>
  </conditionalFormatting>
  <conditionalFormatting sqref="B23">
    <cfRule type="expression" dxfId="45" priority="134">
      <formula>$B$23&gt;$I$23</formula>
    </cfRule>
  </conditionalFormatting>
  <conditionalFormatting sqref="B31">
    <cfRule type="expression" dxfId="44" priority="120">
      <formula>$B$31&gt;$I$31</formula>
    </cfRule>
  </conditionalFormatting>
  <conditionalFormatting sqref="B32">
    <cfRule type="expression" dxfId="43" priority="116">
      <formula>$B$32&gt;$I$32</formula>
    </cfRule>
  </conditionalFormatting>
  <conditionalFormatting sqref="B33">
    <cfRule type="expression" dxfId="42" priority="112">
      <formula>$B$33&gt;$I$33</formula>
    </cfRule>
  </conditionalFormatting>
  <conditionalFormatting sqref="B34">
    <cfRule type="expression" dxfId="41" priority="108">
      <formula>$B$34&gt;$I$34</formula>
    </cfRule>
  </conditionalFormatting>
  <conditionalFormatting sqref="B35">
    <cfRule type="expression" dxfId="40" priority="104">
      <formula>$B$35&gt;$I$35</formula>
    </cfRule>
  </conditionalFormatting>
  <conditionalFormatting sqref="B36">
    <cfRule type="expression" dxfId="39" priority="100">
      <formula>$B$36&gt;$I$36</formula>
    </cfRule>
  </conditionalFormatting>
  <conditionalFormatting sqref="B41">
    <cfRule type="expression" dxfId="38" priority="25">
      <formula>$B$41&gt;$I$41</formula>
    </cfRule>
  </conditionalFormatting>
  <conditionalFormatting sqref="B42">
    <cfRule type="expression" dxfId="37" priority="21">
      <formula>$B$42&gt;$I$42</formula>
    </cfRule>
  </conditionalFormatting>
  <conditionalFormatting sqref="B43">
    <cfRule type="expression" dxfId="36" priority="17">
      <formula>$B$43&gt;$I$43</formula>
    </cfRule>
  </conditionalFormatting>
  <conditionalFormatting sqref="B44">
    <cfRule type="expression" dxfId="35" priority="8">
      <formula>$B$44&gt;$I$44</formula>
    </cfRule>
  </conditionalFormatting>
  <conditionalFormatting sqref="B45">
    <cfRule type="expression" dxfId="34" priority="4">
      <formula>$B$45&gt;$I$45</formula>
    </cfRule>
  </conditionalFormatting>
  <conditionalFormatting sqref="B51">
    <cfRule type="expression" dxfId="33" priority="74">
      <formula>$B$51&gt;$I$51</formula>
    </cfRule>
  </conditionalFormatting>
  <conditionalFormatting sqref="B52">
    <cfRule type="expression" dxfId="32" priority="70">
      <formula>$B$52&gt;$I$52</formula>
    </cfRule>
  </conditionalFormatting>
  <conditionalFormatting sqref="B53">
    <cfRule type="expression" dxfId="31" priority="66">
      <formula>$B$53&gt;$I$53</formula>
    </cfRule>
  </conditionalFormatting>
  <conditionalFormatting sqref="B54">
    <cfRule type="expression" dxfId="30" priority="62">
      <formula>$B$54&gt;$I$54</formula>
    </cfRule>
  </conditionalFormatting>
  <conditionalFormatting sqref="B55">
    <cfRule type="expression" dxfId="29" priority="58">
      <formula>$B$55&gt;$I$55</formula>
    </cfRule>
  </conditionalFormatting>
  <conditionalFormatting sqref="B59:B67">
    <cfRule type="expression" dxfId="28" priority="30">
      <formula>$B$59&gt;$I$58</formula>
    </cfRule>
  </conditionalFormatting>
  <conditionalFormatting sqref="B68">
    <cfRule type="expression" dxfId="27" priority="41">
      <formula>$B$68&gt;$I$68</formula>
    </cfRule>
  </conditionalFormatting>
  <conditionalFormatting sqref="C13">
    <cfRule type="expression" dxfId="26" priority="34">
      <formula>$C$13&gt;$I$13</formula>
    </cfRule>
  </conditionalFormatting>
  <conditionalFormatting sqref="C16">
    <cfRule type="expression" dxfId="25" priority="180">
      <formula>$C$16&gt;$I$16</formula>
    </cfRule>
  </conditionalFormatting>
  <conditionalFormatting sqref="C17">
    <cfRule type="expression" dxfId="24" priority="164">
      <formula>$C$17&gt;$I$17</formula>
    </cfRule>
  </conditionalFormatting>
  <conditionalFormatting sqref="C18">
    <cfRule type="expression" dxfId="23" priority="159">
      <formula>$C$18&gt;$I$18</formula>
    </cfRule>
  </conditionalFormatting>
  <conditionalFormatting sqref="C22">
    <cfRule type="expression" dxfId="22" priority="137">
      <formula>$C$22&gt;$I$22</formula>
    </cfRule>
  </conditionalFormatting>
  <conditionalFormatting sqref="C23">
    <cfRule type="expression" dxfId="21" priority="133">
      <formula>$C$23&gt;$I$23</formula>
    </cfRule>
  </conditionalFormatting>
  <conditionalFormatting sqref="C31">
    <cfRule type="expression" dxfId="20" priority="119">
      <formula>$C$31&gt;$I$31</formula>
    </cfRule>
  </conditionalFormatting>
  <conditionalFormatting sqref="C32">
    <cfRule type="expression" dxfId="19" priority="115">
      <formula>$C$32&gt;$I$32</formula>
    </cfRule>
  </conditionalFormatting>
  <conditionalFormatting sqref="C33">
    <cfRule type="expression" dxfId="18" priority="111">
      <formula>$C$33&gt;$I$33</formula>
    </cfRule>
  </conditionalFormatting>
  <conditionalFormatting sqref="C34">
    <cfRule type="expression" dxfId="17" priority="107">
      <formula>$C$34&gt;$I$34</formula>
    </cfRule>
  </conditionalFormatting>
  <conditionalFormatting sqref="C35">
    <cfRule type="expression" dxfId="16" priority="103">
      <formula>$C$35&gt;$I$35</formula>
    </cfRule>
  </conditionalFormatting>
  <conditionalFormatting sqref="C36">
    <cfRule type="expression" dxfId="15" priority="99">
      <formula>$C$36&gt;$I$36</formula>
    </cfRule>
  </conditionalFormatting>
  <conditionalFormatting sqref="C41">
    <cfRule type="expression" dxfId="14" priority="24">
      <formula>$C$41&gt;$I$41</formula>
    </cfRule>
  </conditionalFormatting>
  <conditionalFormatting sqref="C42">
    <cfRule type="expression" dxfId="13" priority="20">
      <formula>$C$42&gt;$I$42</formula>
    </cfRule>
  </conditionalFormatting>
  <conditionalFormatting sqref="C43">
    <cfRule type="expression" dxfId="12" priority="14">
      <formula>$C$43&gt;$I$43</formula>
    </cfRule>
  </conditionalFormatting>
  <conditionalFormatting sqref="C44">
    <cfRule type="expression" dxfId="11" priority="7">
      <formula>$C$44&gt;$I$44</formula>
    </cfRule>
  </conditionalFormatting>
  <conditionalFormatting sqref="C45">
    <cfRule type="expression" dxfId="10" priority="3">
      <formula>$C$45&gt;$I$45</formula>
    </cfRule>
  </conditionalFormatting>
  <conditionalFormatting sqref="C51">
    <cfRule type="expression" dxfId="9" priority="73">
      <formula>$C$51&gt;$I$51</formula>
    </cfRule>
  </conditionalFormatting>
  <conditionalFormatting sqref="C52">
    <cfRule type="expression" dxfId="8" priority="69">
      <formula>$C$52&gt;$I$52</formula>
    </cfRule>
  </conditionalFormatting>
  <conditionalFormatting sqref="C53">
    <cfRule type="expression" dxfId="7" priority="65">
      <formula>$C$53&gt;$I$53</formula>
    </cfRule>
  </conditionalFormatting>
  <conditionalFormatting sqref="C54">
    <cfRule type="expression" dxfId="6" priority="61">
      <formula>$C$54&gt;$I$54</formula>
    </cfRule>
  </conditionalFormatting>
  <conditionalFormatting sqref="C55">
    <cfRule type="expression" dxfId="5" priority="57">
      <formula>$C$55&gt;$I$55</formula>
    </cfRule>
  </conditionalFormatting>
  <conditionalFormatting sqref="C59:C67">
    <cfRule type="expression" dxfId="4" priority="29">
      <formula>$C$59&gt;$I$58</formula>
    </cfRule>
  </conditionalFormatting>
  <conditionalFormatting sqref="C68">
    <cfRule type="expression" dxfId="3" priority="40">
      <formula>$C$68&gt;$I$68</formula>
    </cfRule>
  </conditionalFormatting>
  <conditionalFormatting sqref="J31:J36">
    <cfRule type="expression" dxfId="2" priority="123">
      <formula>$J$30&gt;$I$30</formula>
    </cfRule>
  </conditionalFormatting>
  <conditionalFormatting sqref="J51:J55">
    <cfRule type="expression" dxfId="1" priority="80">
      <formula>$J$50&gt;$I$50</formula>
    </cfRule>
  </conditionalFormatting>
  <conditionalFormatting sqref="J58:J67 A59:C67">
    <cfRule type="expression" dxfId="0" priority="28">
      <formula>$J$58&gt;$I$58</formula>
    </cfRule>
  </conditionalFormatting>
  <dataValidations count="4">
    <dataValidation type="custom" errorStyle="warning" allowBlank="1" showInputMessage="1" showErrorMessage="1" errorTitle="Too many points" error="Number of total planned points is higher than total possible points." sqref="J41:J45 J22:J23 J16:J18 J13 J31:J36 J51:J55 J58:J68" xr:uid="{93FA8EAC-9534-4783-928F-1B568B6CB108}">
      <formula1>J13&lt;=I13</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16:A18 A22:A23 A31:A36 A68 A41:A45 A51:A55" xr:uid="{DD31B7D2-B173-4ABA-9441-C310293FA07B}">
      <formula1>A16&lt;=$I16</formula1>
    </dataValidation>
    <dataValidation type="custom" errorStyle="warning" allowBlank="1" showInputMessage="1" showErrorMessage="1" errorTitle="Point Limit Exceeded." error="The value entered is too high. Please ensure the number of planned points does not exceed the maximum possible points for this credit." sqref="B16:C18 B22:C23 B31:C36 B68:C68 A13:C13 B41:C45 B51:C55" xr:uid="{1F340311-2FFC-4B02-AB1D-796D950643FB}">
      <formula1>A13&lt;=$I13</formula1>
    </dataValidation>
    <dataValidation type="custom" errorStyle="warning" allowBlank="1" showInputMessage="1" showErrorMessage="1" errorTitle="Point Limit Exceeded." error="The value entered is too high. Please ensure the number of planned points does not exceed the maximum possible points for this credit." sqref="A59:C67" xr:uid="{E08C9D54-F33C-4620-8ACB-F9883C5F2DA4}">
      <formula1>A59&lt;=$I$58</formula1>
    </dataValidation>
  </dataValidations>
  <pageMargins left="0.7" right="0.7" top="0.75" bottom="0.75" header="0.3" footer="0.3"/>
  <pageSetup scale="41" orientation="portrait" r:id="rId1"/>
  <ignoredErrors>
    <ignoredError sqref="I14:J14 I19:J19 I21:J21 I24:J24 I46:J46 J31:J36 I37:J37 I69:J69 J51:J54 I48:J49 I26:J29 J15:J18 I56 J13 J41:J45 J22:J23 J68 J56 J55 J57 J59:J6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F67D-FE2A-964A-A345-BDA06F1485F9}">
  <sheetPr>
    <pageSetUpPr fitToPage="1"/>
  </sheetPr>
  <dimension ref="A1:AG48"/>
  <sheetViews>
    <sheetView workbookViewId="0">
      <pane ySplit="5" topLeftCell="A6" activePane="bottomLeft" state="frozen"/>
      <selection pane="bottomLeft" activeCell="A6" sqref="A6"/>
    </sheetView>
  </sheetViews>
  <sheetFormatPr defaultColWidth="8.77734375" defaultRowHeight="17.399999999999999" x14ac:dyDescent="0.3"/>
  <cols>
    <col min="1" max="3" width="10" style="5" customWidth="1"/>
    <col min="4" max="4" width="10.77734375" style="3" bestFit="1" customWidth="1"/>
    <col min="5" max="5" width="6.6640625" style="3" bestFit="1" customWidth="1"/>
    <col min="6" max="6" width="54.88671875" style="3" bestFit="1" customWidth="1"/>
    <col min="7" max="7" width="5.44140625" style="269" customWidth="1"/>
    <col min="8" max="8" width="4.21875" style="3" customWidth="1"/>
    <col min="9" max="11" width="10" style="5" customWidth="1"/>
    <col min="12" max="12" width="10.6640625" style="3" bestFit="1" customWidth="1"/>
    <col min="13" max="13" width="6.6640625" style="3" bestFit="1" customWidth="1"/>
    <col min="14" max="14" width="45.21875" style="3" customWidth="1"/>
    <col min="15" max="15" width="5.44140625" style="273" customWidth="1"/>
    <col min="16" max="16" width="4.21875" style="3" customWidth="1"/>
    <col min="17" max="19" width="10" style="5" customWidth="1"/>
    <col min="20" max="20" width="10.77734375" style="3" bestFit="1" customWidth="1"/>
    <col min="21" max="21" width="6.6640625" style="3" bestFit="1" customWidth="1"/>
    <col min="22" max="22" width="45.21875" style="3" customWidth="1"/>
    <col min="23" max="23" width="5.44140625" style="273" customWidth="1"/>
    <col min="24" max="24" width="5.44140625" style="4" customWidth="1"/>
    <col min="25" max="25" width="6.88671875" style="19" customWidth="1"/>
    <col min="26" max="26" width="11.109375" style="3" customWidth="1"/>
    <col min="27" max="27" width="9.44140625" style="3" customWidth="1"/>
    <col min="28" max="16384" width="8.77734375" style="3"/>
  </cols>
  <sheetData>
    <row r="1" spans="1:33" s="1" customFormat="1" ht="25.05" customHeight="1" x14ac:dyDescent="0.3">
      <c r="A1" s="12"/>
      <c r="B1" s="12"/>
      <c r="C1" s="12"/>
      <c r="D1" s="12"/>
      <c r="E1" s="12"/>
      <c r="F1" s="12"/>
      <c r="G1" s="269"/>
      <c r="H1" s="3"/>
      <c r="O1" s="273"/>
      <c r="P1" s="2"/>
      <c r="Q1" s="12"/>
      <c r="R1" s="12"/>
      <c r="S1" s="12"/>
      <c r="W1" s="273"/>
      <c r="Y1" s="20"/>
      <c r="Z1" s="233"/>
      <c r="AA1" s="233"/>
      <c r="AB1" s="233"/>
    </row>
    <row r="2" spans="1:33" s="1" customFormat="1" ht="19.2" customHeight="1" x14ac:dyDescent="0.25">
      <c r="A2" s="41" t="s">
        <v>78</v>
      </c>
      <c r="B2" s="111"/>
      <c r="D2" s="112"/>
      <c r="E2" s="112"/>
      <c r="F2" s="112"/>
      <c r="G2" s="269"/>
      <c r="H2" s="112"/>
      <c r="O2" s="273"/>
      <c r="P2" s="13"/>
      <c r="Q2" s="12"/>
      <c r="R2" s="12"/>
      <c r="W2" s="273"/>
      <c r="Z2" s="233"/>
      <c r="AA2" s="233"/>
      <c r="AB2" s="233"/>
    </row>
    <row r="3" spans="1:33" s="1" customFormat="1" ht="19.2" customHeight="1" x14ac:dyDescent="0.25">
      <c r="A3" s="302" t="s">
        <v>61</v>
      </c>
      <c r="B3" s="111"/>
      <c r="D3" s="113"/>
      <c r="G3" s="269"/>
      <c r="I3" s="111"/>
      <c r="M3" s="127"/>
      <c r="O3" s="273"/>
      <c r="Q3" s="12"/>
      <c r="R3" s="12"/>
      <c r="W3" s="279"/>
      <c r="Z3" s="233"/>
      <c r="AA3" s="233"/>
      <c r="AB3" s="233"/>
    </row>
    <row r="4" spans="1:33" s="27" customFormat="1" ht="40.200000000000003" customHeight="1" x14ac:dyDescent="0.3">
      <c r="A4" s="108" t="s">
        <v>58</v>
      </c>
      <c r="B4" s="108" t="s">
        <v>59</v>
      </c>
      <c r="C4" s="108" t="s">
        <v>60</v>
      </c>
      <c r="D4" s="136"/>
      <c r="E4" s="136"/>
      <c r="F4" s="136"/>
      <c r="G4" s="271"/>
      <c r="H4" s="28"/>
      <c r="I4" s="206" t="s">
        <v>58</v>
      </c>
      <c r="J4" s="206" t="s">
        <v>59</v>
      </c>
      <c r="K4" s="206" t="s">
        <v>60</v>
      </c>
      <c r="L4" s="235"/>
      <c r="M4" s="235"/>
      <c r="N4" s="235"/>
      <c r="O4" s="274"/>
      <c r="P4" s="29"/>
      <c r="Q4" s="206" t="s">
        <v>58</v>
      </c>
      <c r="R4" s="206" t="s">
        <v>59</v>
      </c>
      <c r="S4" s="206" t="s">
        <v>60</v>
      </c>
      <c r="T4" s="235"/>
      <c r="U4" s="235"/>
      <c r="V4" s="235"/>
      <c r="W4" s="274"/>
      <c r="X4" s="11"/>
      <c r="AB4" s="30"/>
      <c r="AC4" s="32"/>
      <c r="AD4" s="32"/>
      <c r="AE4" s="32"/>
      <c r="AF4" s="32"/>
      <c r="AG4" s="30"/>
    </row>
    <row r="5" spans="1:33" s="27" customFormat="1" ht="30.6" customHeight="1" x14ac:dyDescent="0.3">
      <c r="A5" s="371" t="s">
        <v>7</v>
      </c>
      <c r="B5" s="372"/>
      <c r="C5" s="372"/>
      <c r="D5" s="372"/>
      <c r="E5" s="372"/>
      <c r="F5" s="373"/>
      <c r="G5" s="271"/>
      <c r="H5" s="234"/>
      <c r="I5" s="368" t="s">
        <v>2</v>
      </c>
      <c r="J5" s="369"/>
      <c r="K5" s="369"/>
      <c r="L5" s="369"/>
      <c r="M5" s="369"/>
      <c r="N5" s="370"/>
      <c r="O5" s="275"/>
      <c r="P5" s="137"/>
      <c r="Q5" s="368" t="s">
        <v>66</v>
      </c>
      <c r="R5" s="369"/>
      <c r="S5" s="369"/>
      <c r="T5" s="369"/>
      <c r="U5" s="369"/>
      <c r="V5" s="370"/>
      <c r="W5" s="275"/>
      <c r="X5" s="233"/>
      <c r="Y5" s="233"/>
      <c r="Z5" s="233"/>
      <c r="AB5" s="30"/>
      <c r="AC5" s="32"/>
      <c r="AD5" s="32"/>
      <c r="AE5" s="32"/>
      <c r="AF5" s="32"/>
      <c r="AG5" s="138"/>
    </row>
    <row r="6" spans="1:33" s="6" customFormat="1" ht="22.05" customHeight="1" x14ac:dyDescent="0.3">
      <c r="A6" s="225" t="b">
        <f>'ID+C credit category view'!A12</f>
        <v>0</v>
      </c>
      <c r="B6" s="225" t="b">
        <f>'ID+C credit category view'!B12</f>
        <v>0</v>
      </c>
      <c r="C6" s="225" t="b">
        <f>'ID+C credit category view'!C12</f>
        <v>0</v>
      </c>
      <c r="D6" s="226" t="s">
        <v>55</v>
      </c>
      <c r="E6" s="33" t="str">
        <f>'ID+C credit category view'!E12</f>
        <v>IPp3</v>
      </c>
      <c r="F6" s="18" t="str">
        <f>'ID+C credit category view'!F12</f>
        <v>Carbon Assessment</v>
      </c>
      <c r="G6" s="269"/>
      <c r="H6" s="3"/>
      <c r="I6" s="225" t="b">
        <f>'ID+C credit category view'!A10</f>
        <v>0</v>
      </c>
      <c r="J6" s="225" t="b">
        <f>'ID+C credit category view'!B10</f>
        <v>0</v>
      </c>
      <c r="K6" s="225" t="b">
        <f>'ID+C credit category view'!C10</f>
        <v>0</v>
      </c>
      <c r="L6" s="231" t="s">
        <v>55</v>
      </c>
      <c r="M6" s="33" t="str">
        <f>'ID+C credit category view'!E10</f>
        <v>IPp1</v>
      </c>
      <c r="N6" s="18" t="str">
        <f>'ID+C credit category view'!F10</f>
        <v>Climate Resilience Assessment</v>
      </c>
      <c r="O6" s="270"/>
      <c r="P6" s="14"/>
      <c r="Q6" s="128" t="b">
        <f>'ID+C credit category view'!A13&gt;0</f>
        <v>0</v>
      </c>
      <c r="R6" s="128" t="b">
        <f>'ID+C credit category view'!B13&gt;0</f>
        <v>0</v>
      </c>
      <c r="S6" s="128" t="b">
        <f>'ID+C credit category view'!C13&gt;0</f>
        <v>0</v>
      </c>
      <c r="T6" s="236" t="s">
        <v>54</v>
      </c>
      <c r="U6" s="17" t="str">
        <f>'ID+C credit category view'!E13</f>
        <v>IPc1</v>
      </c>
      <c r="V6" s="17" t="str">
        <f>'ID+C credit category view'!F13</f>
        <v>Integrative Design Process</v>
      </c>
      <c r="W6" s="270" t="str">
        <f>'ID+C credit category view'!K13</f>
        <v/>
      </c>
      <c r="X6" s="233"/>
      <c r="AG6" s="31"/>
    </row>
    <row r="7" spans="1:33" s="6" customFormat="1" ht="22.05" customHeight="1" x14ac:dyDescent="0.3">
      <c r="A7" s="128" t="b">
        <f>'ID+C credit category view'!A13&gt;0</f>
        <v>0</v>
      </c>
      <c r="B7" s="128" t="b">
        <f>'ID+C credit category view'!B13&gt;0</f>
        <v>0</v>
      </c>
      <c r="C7" s="128" t="b">
        <f>'ID+C credit category view'!C13&gt;0</f>
        <v>0</v>
      </c>
      <c r="D7" s="231" t="s">
        <v>54</v>
      </c>
      <c r="E7" s="17" t="str">
        <f>'ID+C credit category view'!E13</f>
        <v>IPc1</v>
      </c>
      <c r="F7" s="17" t="str">
        <f>'ID+C credit category view'!F13</f>
        <v>Integrative Design Process</v>
      </c>
      <c r="G7" s="269" t="str">
        <f>'ID+C credit category view'!K13</f>
        <v/>
      </c>
      <c r="H7" s="3"/>
      <c r="I7" s="225" t="b">
        <f>'ID+C credit category view'!A11</f>
        <v>0</v>
      </c>
      <c r="J7" s="225" t="b">
        <f>'ID+C credit category view'!B11</f>
        <v>0</v>
      </c>
      <c r="K7" s="225" t="b">
        <f>'ID+C credit category view'!C11</f>
        <v>0</v>
      </c>
      <c r="L7" s="231" t="s">
        <v>55</v>
      </c>
      <c r="M7" s="33" t="str">
        <f>'ID+C credit category view'!E11</f>
        <v>IPp2</v>
      </c>
      <c r="N7" s="18" t="str">
        <f>'ID+C credit category view'!F11</f>
        <v>Human Impact Assessment</v>
      </c>
      <c r="O7" s="269"/>
      <c r="P7" s="14"/>
      <c r="Q7" s="128" t="b">
        <f>'ID+C credit category view'!A16&gt;0</f>
        <v>0</v>
      </c>
      <c r="R7" s="128" t="b">
        <f>'ID+C credit category view'!B16&gt;0</f>
        <v>0</v>
      </c>
      <c r="S7" s="128" t="b">
        <f>'ID+C credit category view'!C16&gt;0</f>
        <v>0</v>
      </c>
      <c r="T7" s="237" t="s">
        <v>52</v>
      </c>
      <c r="U7" s="17" t="str">
        <f>'ID+C credit category view'!E16</f>
        <v>LTc1</v>
      </c>
      <c r="V7" s="17" t="str">
        <f>'ID+C credit category view'!F16</f>
        <v>Compact and Connected Development</v>
      </c>
      <c r="W7" s="269" t="str">
        <f>'ID+C credit category view'!K16</f>
        <v/>
      </c>
      <c r="X7" s="233"/>
      <c r="AG7" s="31"/>
    </row>
    <row r="8" spans="1:33" s="6" customFormat="1" ht="22.05" customHeight="1" x14ac:dyDescent="0.3">
      <c r="A8" s="128" t="b">
        <f>'ID+C credit category view'!A16&gt;0</f>
        <v>0</v>
      </c>
      <c r="B8" s="128" t="b">
        <f>'ID+C credit category view'!B16&gt;0</f>
        <v>0</v>
      </c>
      <c r="C8" s="128" t="b">
        <f>'ID+C credit category view'!C16&gt;0</f>
        <v>0</v>
      </c>
      <c r="D8" s="230" t="s">
        <v>120</v>
      </c>
      <c r="E8" s="17" t="str">
        <f>'ID+C credit category view'!E16</f>
        <v>LTc1</v>
      </c>
      <c r="F8" s="17" t="str">
        <f>'ID+C credit category view'!F16</f>
        <v>Compact and Connected Development</v>
      </c>
      <c r="G8" s="269" t="str">
        <f>'ID+C credit category view'!K16</f>
        <v/>
      </c>
      <c r="H8" s="3"/>
      <c r="I8" s="128" t="b">
        <f>'ID+C credit category view'!A13&gt;0</f>
        <v>0</v>
      </c>
      <c r="J8" s="128" t="b">
        <f>'ID+C credit category view'!B13&gt;0</f>
        <v>0</v>
      </c>
      <c r="K8" s="128" t="b">
        <f>'ID+C credit category view'!C13&gt;0</f>
        <v>0</v>
      </c>
      <c r="L8" s="231" t="s">
        <v>54</v>
      </c>
      <c r="M8" s="17" t="str">
        <f>'ID+C credit category view'!E13</f>
        <v>IPc1</v>
      </c>
      <c r="N8" s="17" t="str">
        <f>'ID+C credit category view'!F13</f>
        <v>Integrative Design Process</v>
      </c>
      <c r="O8" s="269" t="str">
        <f>'ID+C credit category view'!K13</f>
        <v/>
      </c>
      <c r="P8" s="14"/>
      <c r="Q8" s="225" t="b">
        <f>'ID+C credit category view'!A21</f>
        <v>0</v>
      </c>
      <c r="R8" s="225" t="b">
        <f>'ID+C credit category view'!B21</f>
        <v>0</v>
      </c>
      <c r="S8" s="225" t="b">
        <f>'ID+C credit category view'!C21</f>
        <v>0</v>
      </c>
      <c r="T8" s="238" t="s">
        <v>53</v>
      </c>
      <c r="U8" s="33" t="str">
        <f>'ID+C credit category view'!E21</f>
        <v>WEp1</v>
      </c>
      <c r="V8" s="18" t="str">
        <f>'ID+C credit category view'!F21</f>
        <v>Minimum Water Efficiency</v>
      </c>
      <c r="W8" s="269"/>
      <c r="X8" s="233"/>
      <c r="AG8" s="31"/>
    </row>
    <row r="9" spans="1:33" s="6" customFormat="1" ht="22.05" customHeight="1" x14ac:dyDescent="0.3">
      <c r="A9" s="128" t="b">
        <f>'ID+C credit category view'!A17&gt;0</f>
        <v>0</v>
      </c>
      <c r="B9" s="128" t="b">
        <f>'ID+C credit category view'!B17&gt;0</f>
        <v>0</v>
      </c>
      <c r="C9" s="128" t="b">
        <f>'ID+C credit category view'!C17&gt;0</f>
        <v>0</v>
      </c>
      <c r="D9" s="230" t="s">
        <v>120</v>
      </c>
      <c r="E9" s="17" t="str">
        <f>'ID+C credit category view'!E17</f>
        <v>LTc2</v>
      </c>
      <c r="F9" s="17" t="str">
        <f>'ID+C credit category view'!F17</f>
        <v>Transportation Demand Management</v>
      </c>
      <c r="G9" s="269" t="str">
        <f>'ID+C credit category view'!K17</f>
        <v/>
      </c>
      <c r="H9" s="3"/>
      <c r="I9" s="128" t="b">
        <f>'ID+C credit category view'!A16&gt;0</f>
        <v>0</v>
      </c>
      <c r="J9" s="128" t="b">
        <f>'ID+C credit category view'!B16&gt;0</f>
        <v>0</v>
      </c>
      <c r="K9" s="128" t="b">
        <f>'ID+C credit category view'!C16&gt;0</f>
        <v>0</v>
      </c>
      <c r="L9" s="230" t="s">
        <v>120</v>
      </c>
      <c r="M9" s="17" t="str">
        <f>'ID+C credit category view'!E16</f>
        <v>LTc1</v>
      </c>
      <c r="N9" s="17" t="str">
        <f>'ID+C credit category view'!F16</f>
        <v>Compact and Connected Development</v>
      </c>
      <c r="O9" s="269" t="str">
        <f>'ID+C credit category view'!K16</f>
        <v/>
      </c>
      <c r="P9" s="14"/>
      <c r="Q9" s="128" t="b">
        <f>'ID+C credit category view'!A22&gt;0</f>
        <v>0</v>
      </c>
      <c r="R9" s="128" t="b">
        <f>'ID+C credit category view'!B22&gt;0</f>
        <v>0</v>
      </c>
      <c r="S9" s="128" t="b">
        <f>'ID+C credit category view'!C22&gt;0</f>
        <v>0</v>
      </c>
      <c r="T9" s="238" t="s">
        <v>51</v>
      </c>
      <c r="U9" s="17" t="str">
        <f>'ID+C credit category view'!E22</f>
        <v>WEc1</v>
      </c>
      <c r="V9" s="17" t="str">
        <f>'ID+C credit category view'!F22</f>
        <v>Water Metering and Leak Detection</v>
      </c>
      <c r="W9" s="269" t="str">
        <f>'ID+C credit category view'!K22</f>
        <v/>
      </c>
      <c r="X9" s="233"/>
      <c r="Y9" s="133"/>
      <c r="Z9" s="133"/>
      <c r="AA9" s="133"/>
      <c r="AG9" s="31"/>
    </row>
    <row r="10" spans="1:33" s="6" customFormat="1" ht="22.05" customHeight="1" x14ac:dyDescent="0.3">
      <c r="A10" s="128" t="b">
        <f>'ID+C credit category view'!A18&gt;0</f>
        <v>0</v>
      </c>
      <c r="B10" s="128" t="b">
        <f>'ID+C credit category view'!B18&gt;0</f>
        <v>0</v>
      </c>
      <c r="C10" s="128" t="b">
        <f>'ID+C credit category view'!C18&gt;0</f>
        <v>0</v>
      </c>
      <c r="D10" s="230" t="s">
        <v>120</v>
      </c>
      <c r="E10" s="17" t="str">
        <f>'ID+C credit category view'!E18</f>
        <v>LTc3</v>
      </c>
      <c r="F10" s="17" t="str">
        <f>'ID+C credit category view'!F18</f>
        <v>Electric Vehicles</v>
      </c>
      <c r="G10" s="269" t="str">
        <f>'ID+C credit category view'!K18</f>
        <v/>
      </c>
      <c r="H10" s="3"/>
      <c r="I10" s="128" t="b">
        <f>'ID+C credit category view'!A17&gt;0</f>
        <v>0</v>
      </c>
      <c r="J10" s="128" t="b">
        <f>'ID+C credit category view'!B17&gt;0</f>
        <v>0</v>
      </c>
      <c r="K10" s="128" t="b">
        <f>'ID+C credit category view'!C17&gt;0</f>
        <v>0</v>
      </c>
      <c r="L10" s="230" t="s">
        <v>120</v>
      </c>
      <c r="M10" s="17" t="str">
        <f>'ID+C credit category view'!E17</f>
        <v>LTc2</v>
      </c>
      <c r="N10" s="17" t="str">
        <f>'ID+C credit category view'!F17</f>
        <v>Transportation Demand Management</v>
      </c>
      <c r="O10" s="269" t="str">
        <f>'ID+C credit category view'!K17</f>
        <v/>
      </c>
      <c r="P10" s="14"/>
      <c r="Q10" s="128" t="b">
        <f>'ID+C credit category view'!A23&gt;0</f>
        <v>0</v>
      </c>
      <c r="R10" s="128" t="b">
        <f>'ID+C credit category view'!B23&gt;0</f>
        <v>0</v>
      </c>
      <c r="S10" s="128" t="b">
        <f>'ID+C credit category view'!C23&gt;0</f>
        <v>0</v>
      </c>
      <c r="T10" s="238" t="s">
        <v>51</v>
      </c>
      <c r="U10" s="17" t="str">
        <f>'ID+C credit category view'!E23</f>
        <v>WEc2</v>
      </c>
      <c r="V10" s="17" t="str">
        <f>'ID+C credit category view'!F23</f>
        <v>Enhanced Water Efficiency</v>
      </c>
      <c r="W10" s="269" t="str">
        <f>'ID+C credit category view'!K23</f>
        <v/>
      </c>
      <c r="X10" s="280"/>
      <c r="Y10" s="280"/>
      <c r="Z10" s="280"/>
      <c r="AA10" s="280"/>
      <c r="AG10" s="31"/>
    </row>
    <row r="11" spans="1:33" s="6" customFormat="1" ht="22.05" customHeight="1" x14ac:dyDescent="0.3">
      <c r="A11" s="225" t="b">
        <f>'ID+C credit category view'!A21</f>
        <v>0</v>
      </c>
      <c r="B11" s="225" t="b">
        <f>'ID+C credit category view'!B21</f>
        <v>0</v>
      </c>
      <c r="C11" s="225" t="b">
        <f>'ID+C credit category view'!C21</f>
        <v>0</v>
      </c>
      <c r="D11" s="229" t="s">
        <v>53</v>
      </c>
      <c r="E11" s="33" t="str">
        <f>'ID+C credit category view'!E21</f>
        <v>WEp1</v>
      </c>
      <c r="F11" s="18" t="str">
        <f>'ID+C credit category view'!F21</f>
        <v>Minimum Water Efficiency</v>
      </c>
      <c r="G11" s="269"/>
      <c r="H11" s="3"/>
      <c r="I11" s="128" t="b">
        <f>'ID+C credit category view'!A22&gt;0</f>
        <v>0</v>
      </c>
      <c r="J11" s="128" t="b">
        <f>'ID+C credit category view'!B22&gt;0</f>
        <v>0</v>
      </c>
      <c r="K11" s="128" t="b">
        <f>'ID+C credit category view'!C22&gt;0</f>
        <v>0</v>
      </c>
      <c r="L11" s="229" t="s">
        <v>51</v>
      </c>
      <c r="M11" s="17" t="str">
        <f>'ID+C credit category view'!E22</f>
        <v>WEc1</v>
      </c>
      <c r="N11" s="17" t="str">
        <f>'ID+C credit category view'!F22</f>
        <v>Water Metering and Leak Detection</v>
      </c>
      <c r="O11" s="269" t="str">
        <f>'ID+C credit category view'!K22</f>
        <v/>
      </c>
      <c r="P11" s="14"/>
      <c r="Q11" s="225" t="b">
        <f>'ID+C credit category view'!A39</f>
        <v>0</v>
      </c>
      <c r="R11" s="225" t="b">
        <f>'ID+C credit category view'!B39</f>
        <v>0</v>
      </c>
      <c r="S11" s="225" t="b">
        <f>'ID+C credit category view'!C39</f>
        <v>0</v>
      </c>
      <c r="T11" s="239" t="s">
        <v>121</v>
      </c>
      <c r="U11" s="33" t="str">
        <f>'ID+C credit category view'!E39</f>
        <v>MRp1</v>
      </c>
      <c r="V11" s="18" t="str">
        <f>'ID+C credit category view'!F39</f>
        <v>Planning for Zero Waste Operations</v>
      </c>
      <c r="W11" s="269"/>
      <c r="X11" s="280"/>
      <c r="Y11" s="280"/>
      <c r="Z11" s="280"/>
      <c r="AA11" s="280"/>
      <c r="AG11" s="31"/>
    </row>
    <row r="12" spans="1:33" s="6" customFormat="1" ht="22.05" customHeight="1" x14ac:dyDescent="0.3">
      <c r="A12" s="128" t="b">
        <f>'ID+C credit category view'!A22&gt;0</f>
        <v>0</v>
      </c>
      <c r="B12" s="128" t="b">
        <f>'ID+C credit category view'!B22&gt;0</f>
        <v>0</v>
      </c>
      <c r="C12" s="128" t="b">
        <f>'ID+C credit category view'!C22&gt;0</f>
        <v>0</v>
      </c>
      <c r="D12" s="229" t="s">
        <v>51</v>
      </c>
      <c r="E12" s="17" t="str">
        <f>'ID+C credit category view'!E22</f>
        <v>WEc1</v>
      </c>
      <c r="F12" s="17" t="str">
        <f>'ID+C credit category view'!F22</f>
        <v>Water Metering and Leak Detection</v>
      </c>
      <c r="G12" s="269" t="str">
        <f>'ID+C credit category view'!K22</f>
        <v/>
      </c>
      <c r="H12" s="3"/>
      <c r="I12" s="128" t="b">
        <f>'ID+C credit category view'!A43&gt;0</f>
        <v>0</v>
      </c>
      <c r="J12" s="128" t="b">
        <f>'ID+C credit category view'!B43&gt;0</f>
        <v>0</v>
      </c>
      <c r="K12" s="128" t="b">
        <f>'ID+C credit category view'!C43&gt;0</f>
        <v>0</v>
      </c>
      <c r="L12" s="227" t="s">
        <v>46</v>
      </c>
      <c r="M12" s="17" t="str">
        <f>'ID+C credit category view'!E43</f>
        <v>MRc3</v>
      </c>
      <c r="N12" s="17" t="str">
        <f>'ID+C credit category view'!F43</f>
        <v>Low-Emitting Materials</v>
      </c>
      <c r="O12" s="269" t="str">
        <f>'ID+C credit category view'!K43</f>
        <v/>
      </c>
      <c r="P12" s="14"/>
      <c r="Q12" s="128" t="b">
        <f>'ID+C credit category view'!A41&gt;0</f>
        <v>0</v>
      </c>
      <c r="R12" s="128" t="b">
        <f>'ID+C credit category view'!B41&gt;0</f>
        <v>0</v>
      </c>
      <c r="S12" s="128" t="b">
        <f>'ID+C credit category view'!C41&gt;0</f>
        <v>0</v>
      </c>
      <c r="T12" s="239" t="s">
        <v>46</v>
      </c>
      <c r="U12" s="17" t="str">
        <f>'ID+C credit category view'!E41</f>
        <v>MRc1</v>
      </c>
      <c r="V12" s="17" t="str">
        <f>'ID+C credit category view'!F41</f>
        <v>Interior Materials Reuse</v>
      </c>
      <c r="W12" s="269" t="str">
        <f>'ID+C credit category view'!K41</f>
        <v/>
      </c>
      <c r="AA12" s="11"/>
    </row>
    <row r="13" spans="1:33" s="6" customFormat="1" ht="22.05" customHeight="1" x14ac:dyDescent="0.3">
      <c r="A13" s="128" t="b">
        <f>'ID+C credit category view'!A23&gt;0</f>
        <v>0</v>
      </c>
      <c r="B13" s="128" t="b">
        <f>'ID+C credit category view'!B23&gt;0</f>
        <v>0</v>
      </c>
      <c r="C13" s="128" t="b">
        <f>'ID+C credit category view'!C23&gt;0</f>
        <v>0</v>
      </c>
      <c r="D13" s="229" t="s">
        <v>51</v>
      </c>
      <c r="E13" s="17" t="str">
        <f>'ID+C credit category view'!E23</f>
        <v>WEc2</v>
      </c>
      <c r="F13" s="17" t="str">
        <f>'ID+C credit category view'!F23</f>
        <v>Enhanced Water Efficiency</v>
      </c>
      <c r="G13" s="269" t="str">
        <f>'ID+C credit category view'!K23</f>
        <v/>
      </c>
      <c r="H13" s="3"/>
      <c r="I13" s="128" t="b">
        <f>'ID+C credit category view'!A44&gt;0</f>
        <v>0</v>
      </c>
      <c r="J13" s="128" t="b">
        <f>'ID+C credit category view'!B44&gt;0</f>
        <v>0</v>
      </c>
      <c r="K13" s="128" t="b">
        <f>'ID+C credit category view'!C44&gt;0</f>
        <v>0</v>
      </c>
      <c r="L13" s="227" t="s">
        <v>46</v>
      </c>
      <c r="M13" s="17" t="str">
        <f>'ID+C credit category view'!E44</f>
        <v>MRc4</v>
      </c>
      <c r="N13" s="17" t="str">
        <f>'ID+C credit category view'!F44</f>
        <v xml:space="preserve">Building Product Selection and Procurement </v>
      </c>
      <c r="O13" s="269" t="str">
        <f>'ID+C credit category view'!K44</f>
        <v/>
      </c>
      <c r="P13" s="14"/>
      <c r="Q13" s="128" t="b">
        <f>'ID+C credit category view'!A44&gt;0</f>
        <v>0</v>
      </c>
      <c r="R13" s="128" t="b">
        <f>'ID+C credit category view'!B44&gt;0</f>
        <v>0</v>
      </c>
      <c r="S13" s="128" t="b">
        <f>'ID+C credit category view'!C44&gt;0</f>
        <v>0</v>
      </c>
      <c r="T13" s="239" t="s">
        <v>46</v>
      </c>
      <c r="U13" s="17" t="str">
        <f>'ID+C credit category view'!E44</f>
        <v>MRc4</v>
      </c>
      <c r="V13" s="17" t="str">
        <f>'ID+C credit category view'!F44</f>
        <v xml:space="preserve">Building Product Selection and Procurement </v>
      </c>
      <c r="W13" s="269" t="str">
        <f>'ID+C credit category view'!K44</f>
        <v/>
      </c>
    </row>
    <row r="14" spans="1:33" s="6" customFormat="1" ht="22.05" customHeight="1" x14ac:dyDescent="0.3">
      <c r="A14" s="225" t="b">
        <f>'ID+C credit category view'!A26</f>
        <v>0</v>
      </c>
      <c r="B14" s="225" t="b">
        <f>'ID+C credit category view'!B26</f>
        <v>0</v>
      </c>
      <c r="C14" s="225" t="b">
        <f>'ID+C credit category view'!C26</f>
        <v>0</v>
      </c>
      <c r="D14" s="232" t="s">
        <v>49</v>
      </c>
      <c r="E14" s="33" t="str">
        <f>'ID+C credit category view'!E26</f>
        <v>EAp1</v>
      </c>
      <c r="F14" s="18" t="str">
        <f>'ID+C credit category view'!F26</f>
        <v xml:space="preserve">Estimated Energy Use and Operational Carbon Projection </v>
      </c>
      <c r="G14" s="269"/>
      <c r="H14" s="3"/>
      <c r="I14" s="225" t="b">
        <f>'ID+C credit category view'!A48</f>
        <v>0</v>
      </c>
      <c r="J14" s="225" t="b">
        <f>'ID+C credit category view'!B48</f>
        <v>0</v>
      </c>
      <c r="K14" s="225" t="b">
        <f>'ID+C credit category view'!C48</f>
        <v>0</v>
      </c>
      <c r="L14" s="228" t="s">
        <v>50</v>
      </c>
      <c r="M14" s="33" t="str">
        <f>'ID+C credit category view'!E48</f>
        <v>EQp1</v>
      </c>
      <c r="N14" s="18" t="str">
        <f>'ID+C credit category view'!F48</f>
        <v xml:space="preserve">Construction Management </v>
      </c>
      <c r="O14" s="269"/>
      <c r="P14" s="14"/>
      <c r="Q14" s="128" t="b">
        <f>'ID+C credit category view'!A45&gt;0</f>
        <v>0</v>
      </c>
      <c r="R14" s="128" t="b">
        <f>'ID+C credit category view'!B45&gt;0</f>
        <v>0</v>
      </c>
      <c r="S14" s="128" t="b">
        <f>'ID+C credit category view'!C45&gt;0</f>
        <v>0</v>
      </c>
      <c r="T14" s="239" t="s">
        <v>46</v>
      </c>
      <c r="U14" s="17" t="str">
        <f>'ID+C credit category view'!E45</f>
        <v>MRc5</v>
      </c>
      <c r="V14" s="17" t="str">
        <f>'ID+C credit category view'!F45</f>
        <v>Construction and Demolition Waste Diversion</v>
      </c>
      <c r="W14" s="269" t="str">
        <f>'ID+C credit category view'!K45</f>
        <v/>
      </c>
    </row>
    <row r="15" spans="1:33" s="6" customFormat="1" ht="22.05" customHeight="1" x14ac:dyDescent="0.3">
      <c r="A15" s="225" t="b">
        <f>'ID+C credit category view'!A27</f>
        <v>0</v>
      </c>
      <c r="B15" s="225" t="b">
        <f>'ID+C credit category view'!B27</f>
        <v>0</v>
      </c>
      <c r="C15" s="225" t="b">
        <f>'ID+C credit category view'!C27</f>
        <v>0</v>
      </c>
      <c r="D15" s="232" t="s">
        <v>49</v>
      </c>
      <c r="E15" s="33" t="str">
        <f>'ID+C credit category view'!E27</f>
        <v>EAp2</v>
      </c>
      <c r="F15" s="18" t="str">
        <f>'ID+C credit category view'!F27</f>
        <v>Minimum Energy Efficiency</v>
      </c>
      <c r="G15" s="269"/>
      <c r="H15" s="3"/>
      <c r="I15" s="225" t="b">
        <f>'ID+C credit category view'!A49</f>
        <v>0</v>
      </c>
      <c r="J15" s="225" t="b">
        <f>'ID+C credit category view'!B49</f>
        <v>0</v>
      </c>
      <c r="K15" s="225" t="b">
        <f>'ID+C credit category view'!C49</f>
        <v>0</v>
      </c>
      <c r="L15" s="228" t="s">
        <v>50</v>
      </c>
      <c r="M15" s="33" t="str">
        <f>'ID+C credit category view'!E49</f>
        <v>EQp2</v>
      </c>
      <c r="N15" s="18" t="str">
        <f>'ID+C credit category view'!F49</f>
        <v>Fundamental Air Quality</v>
      </c>
      <c r="O15" s="269"/>
      <c r="P15" s="14"/>
      <c r="Q15" s="225" t="b">
        <f>'ID+C credit category view'!A50</f>
        <v>0</v>
      </c>
      <c r="R15" s="225" t="b">
        <f>'ID+C credit category view'!B50</f>
        <v>0</v>
      </c>
      <c r="S15" s="225" t="b">
        <f>'ID+C credit category view'!C50</f>
        <v>0</v>
      </c>
      <c r="T15" s="240" t="s">
        <v>50</v>
      </c>
      <c r="U15" s="33" t="str">
        <f>'ID+C credit category view'!E50</f>
        <v>EQp3</v>
      </c>
      <c r="V15" s="18" t="str">
        <f>'ID+C credit category view'!F50</f>
        <v xml:space="preserve">No Smoking </v>
      </c>
      <c r="W15" s="269"/>
    </row>
    <row r="16" spans="1:33" s="6" customFormat="1" ht="22.05" customHeight="1" x14ac:dyDescent="0.3">
      <c r="A16" s="225" t="b">
        <f>'ID+C credit category view'!A28</f>
        <v>0</v>
      </c>
      <c r="B16" s="225" t="b">
        <f>'ID+C credit category view'!B28</f>
        <v>0</v>
      </c>
      <c r="C16" s="225" t="b">
        <f>'ID+C credit category view'!C28</f>
        <v>0</v>
      </c>
      <c r="D16" s="232" t="s">
        <v>49</v>
      </c>
      <c r="E16" s="33" t="str">
        <f>'ID+C credit category view'!E28</f>
        <v>EAp3</v>
      </c>
      <c r="F16" s="18" t="str">
        <f>'ID+C credit category view'!F28</f>
        <v>Fundamental Commissioning</v>
      </c>
      <c r="G16" s="269"/>
      <c r="H16" s="3"/>
      <c r="I16" s="225" t="b">
        <f>'ID+C credit category view'!A50</f>
        <v>0</v>
      </c>
      <c r="J16" s="225" t="b">
        <f>'ID+C credit category view'!B50</f>
        <v>0</v>
      </c>
      <c r="K16" s="225" t="b">
        <f>'ID+C credit category view'!C50</f>
        <v>0</v>
      </c>
      <c r="L16" s="228" t="s">
        <v>50</v>
      </c>
      <c r="M16" s="33" t="str">
        <f>'ID+C credit category view'!E50</f>
        <v>EQp3</v>
      </c>
      <c r="N16" s="18" t="str">
        <f>'ID+C credit category view'!F50</f>
        <v xml:space="preserve">No Smoking </v>
      </c>
      <c r="O16" s="269"/>
      <c r="P16" s="14"/>
      <c r="Q16" s="16"/>
      <c r="R16" s="16"/>
      <c r="S16" s="16"/>
      <c r="T16" s="9"/>
      <c r="U16" s="9"/>
      <c r="V16" s="9"/>
      <c r="W16" s="269"/>
    </row>
    <row r="17" spans="1:31" s="6" customFormat="1" ht="22.05" customHeight="1" x14ac:dyDescent="0.3">
      <c r="A17" s="225" t="b">
        <f>'ID+C credit category view'!A29</f>
        <v>0</v>
      </c>
      <c r="B17" s="225" t="b">
        <f>'ID+C credit category view'!B29</f>
        <v>0</v>
      </c>
      <c r="C17" s="225" t="b">
        <f>'ID+C credit category view'!C29</f>
        <v>0</v>
      </c>
      <c r="D17" s="232" t="s">
        <v>49</v>
      </c>
      <c r="E17" s="33" t="str">
        <f>'ID+C credit category view'!E29</f>
        <v>EAp4</v>
      </c>
      <c r="F17" s="18" t="str">
        <f>'ID+C credit category view'!F29</f>
        <v>Energy Metering and Reporting</v>
      </c>
      <c r="G17" s="269"/>
      <c r="H17" s="3"/>
      <c r="I17" s="128" t="b">
        <f>'ID+C credit category view'!A51&gt;0</f>
        <v>0</v>
      </c>
      <c r="J17" s="128" t="b">
        <f>'ID+C credit category view'!B51&gt;0</f>
        <v>0</v>
      </c>
      <c r="K17" s="128" t="b">
        <f>'ID+C credit category view'!C51&gt;0</f>
        <v>0</v>
      </c>
      <c r="L17" s="228" t="s">
        <v>48</v>
      </c>
      <c r="M17" s="17" t="str">
        <f>'ID+C credit category view'!E51</f>
        <v>EQc1</v>
      </c>
      <c r="N17" s="17" t="str">
        <f>'ID+C credit category view'!F51</f>
        <v>Enhanced Air Quality</v>
      </c>
      <c r="O17" s="269" t="str">
        <f>'ID+C credit category view'!K51</f>
        <v/>
      </c>
      <c r="P17" s="14"/>
      <c r="Q17" s="16"/>
      <c r="R17" s="16"/>
      <c r="S17" s="16"/>
      <c r="T17" s="9"/>
      <c r="U17" s="9"/>
      <c r="V17" s="9"/>
      <c r="W17" s="269"/>
    </row>
    <row r="18" spans="1:31" s="6" customFormat="1" ht="22.05" customHeight="1" x14ac:dyDescent="0.3">
      <c r="A18" s="225" t="b">
        <f>'ID+C credit category view'!A30</f>
        <v>0</v>
      </c>
      <c r="B18" s="225" t="b">
        <f>'ID+C credit category view'!B30</f>
        <v>0</v>
      </c>
      <c r="C18" s="225" t="b">
        <f>'ID+C credit category view'!C30</f>
        <v>0</v>
      </c>
      <c r="D18" s="232" t="s">
        <v>49</v>
      </c>
      <c r="E18" s="33" t="str">
        <f>'ID+C credit category view'!E30</f>
        <v>EAp5</v>
      </c>
      <c r="F18" s="18" t="str">
        <f>'ID+C credit category view'!F30</f>
        <v>Fundamental Refrigerant Management</v>
      </c>
      <c r="G18" s="269"/>
      <c r="H18" s="3"/>
      <c r="I18" s="128" t="b">
        <f>'ID+C credit category view'!A52&gt;0</f>
        <v>0</v>
      </c>
      <c r="J18" s="128" t="b">
        <f>'ID+C credit category view'!B52&gt;0</f>
        <v>0</v>
      </c>
      <c r="K18" s="128" t="b">
        <f>'ID+C credit category view'!C52&gt;0</f>
        <v>0</v>
      </c>
      <c r="L18" s="228" t="s">
        <v>48</v>
      </c>
      <c r="M18" s="17" t="str">
        <f>'ID+C credit category view'!E52</f>
        <v>EQc2</v>
      </c>
      <c r="N18" s="17" t="str">
        <f>'ID+C credit category view'!F52</f>
        <v>Occupant Experience</v>
      </c>
      <c r="O18" s="269" t="str">
        <f>'ID+C credit category view'!K52</f>
        <v/>
      </c>
      <c r="P18" s="9"/>
      <c r="Q18" s="16"/>
      <c r="R18" s="16"/>
      <c r="S18" s="16"/>
      <c r="T18" s="9"/>
      <c r="U18" s="9"/>
      <c r="V18" s="9"/>
      <c r="W18" s="269"/>
      <c r="Y18" s="21"/>
    </row>
    <row r="19" spans="1:31" s="6" customFormat="1" ht="22.05" customHeight="1" x14ac:dyDescent="0.3">
      <c r="A19" s="128" t="b">
        <f>'ID+C credit category view'!A31&gt;0</f>
        <v>0</v>
      </c>
      <c r="B19" s="128" t="b">
        <f>'ID+C credit category view'!B31&gt;0</f>
        <v>0</v>
      </c>
      <c r="C19" s="128" t="b">
        <f>'ID+C credit category view'!C31&gt;0</f>
        <v>0</v>
      </c>
      <c r="D19" s="232" t="s">
        <v>47</v>
      </c>
      <c r="E19" s="17" t="str">
        <f>'ID+C credit category view'!E31</f>
        <v>EAc1</v>
      </c>
      <c r="F19" s="17" t="str">
        <f>'ID+C credit category view'!F31</f>
        <v>Electrification</v>
      </c>
      <c r="G19" s="269" t="str">
        <f>'ID+C credit category view'!K31</f>
        <v/>
      </c>
      <c r="H19" s="3"/>
      <c r="I19" s="128" t="b">
        <f>'ID+C credit category view'!A53&gt;0</f>
        <v>0</v>
      </c>
      <c r="J19" s="128" t="b">
        <f>'ID+C credit category view'!B53&gt;0</f>
        <v>0</v>
      </c>
      <c r="K19" s="128" t="b">
        <f>'ID+C credit category view'!C53&gt;0</f>
        <v>0</v>
      </c>
      <c r="L19" s="228" t="s">
        <v>48</v>
      </c>
      <c r="M19" s="17" t="str">
        <f>'ID+C credit category view'!E53</f>
        <v>EQc3</v>
      </c>
      <c r="N19" s="17" t="str">
        <f>'ID+C credit category view'!F53</f>
        <v>Accessibility and Inclusion</v>
      </c>
      <c r="O19" s="269" t="str">
        <f>'ID+C credit category view'!K53</f>
        <v/>
      </c>
      <c r="P19" s="9"/>
      <c r="Q19" s="15"/>
      <c r="R19" s="15"/>
      <c r="S19" s="15"/>
      <c r="T19" s="9"/>
      <c r="U19" s="9"/>
      <c r="V19" s="9"/>
      <c r="W19" s="269"/>
      <c r="X19" s="10"/>
      <c r="Y19" s="22"/>
    </row>
    <row r="20" spans="1:31" s="6" customFormat="1" ht="22.05" customHeight="1" x14ac:dyDescent="0.3">
      <c r="A20" s="128" t="b">
        <f>'ID+C credit category view'!A32&gt;0</f>
        <v>0</v>
      </c>
      <c r="B20" s="128" t="b">
        <f>'ID+C credit category view'!B32&gt;0</f>
        <v>0</v>
      </c>
      <c r="C20" s="128" t="b">
        <f>'ID+C credit category view'!C32&gt;0</f>
        <v>0</v>
      </c>
      <c r="D20" s="232" t="s">
        <v>47</v>
      </c>
      <c r="E20" s="17" t="str">
        <f>'ID+C credit category view'!E32</f>
        <v>EAc2</v>
      </c>
      <c r="F20" s="17" t="str">
        <f>'ID+C credit category view'!F32</f>
        <v>Enhanced Energy Efficiency</v>
      </c>
      <c r="G20" s="269" t="str">
        <f>'ID+C credit category view'!K32</f>
        <v/>
      </c>
      <c r="H20" s="3"/>
      <c r="I20" s="128" t="b">
        <f>'ID+C credit category view'!A54&gt;0</f>
        <v>0</v>
      </c>
      <c r="J20" s="128" t="b">
        <f>'ID+C credit category view'!B54&gt;0</f>
        <v>0</v>
      </c>
      <c r="K20" s="128" t="b">
        <f>'ID+C credit category view'!C54&gt;0</f>
        <v>0</v>
      </c>
      <c r="L20" s="228" t="s">
        <v>48</v>
      </c>
      <c r="M20" s="17" t="str">
        <f>'ID+C credit category view'!E54</f>
        <v>EQc4</v>
      </c>
      <c r="N20" s="17" t="str">
        <f>'ID+C credit category view'!F54</f>
        <v>Resilient Spaces</v>
      </c>
      <c r="O20" s="269" t="str">
        <f>'ID+C credit category view'!K54</f>
        <v/>
      </c>
      <c r="P20" s="9"/>
      <c r="Q20" s="15"/>
      <c r="R20" s="15"/>
      <c r="S20" s="15"/>
      <c r="W20" s="269"/>
      <c r="X20" s="10"/>
      <c r="Y20" s="22"/>
    </row>
    <row r="21" spans="1:31" s="6" customFormat="1" ht="22.05" customHeight="1" x14ac:dyDescent="0.3">
      <c r="A21" s="128" t="b">
        <f>'ID+C credit category view'!A33&gt;0</f>
        <v>0</v>
      </c>
      <c r="B21" s="128" t="b">
        <f>'ID+C credit category view'!B33&gt;0</f>
        <v>0</v>
      </c>
      <c r="C21" s="128" t="b">
        <f>'ID+C credit category view'!C33&gt;0</f>
        <v>0</v>
      </c>
      <c r="D21" s="232" t="s">
        <v>47</v>
      </c>
      <c r="E21" s="17" t="str">
        <f>'ID+C credit category view'!E33</f>
        <v>EAc3</v>
      </c>
      <c r="F21" s="17" t="str">
        <f>'ID+C credit category view'!F33</f>
        <v>Renewable Energy</v>
      </c>
      <c r="G21" s="269" t="str">
        <f>'ID+C credit category view'!K33</f>
        <v/>
      </c>
      <c r="H21" s="3"/>
      <c r="I21" s="128" t="b">
        <f>'ID+C credit category view'!A55&gt;0</f>
        <v>0</v>
      </c>
      <c r="J21" s="128" t="b">
        <f>'ID+C credit category view'!B55&gt;0</f>
        <v>0</v>
      </c>
      <c r="K21" s="128" t="b">
        <f>'ID+C credit category view'!C55&gt;0</f>
        <v>0</v>
      </c>
      <c r="L21" s="228" t="s">
        <v>48</v>
      </c>
      <c r="M21" s="17" t="str">
        <f>'ID+C credit category view'!E55</f>
        <v>EQc5</v>
      </c>
      <c r="N21" s="17" t="str">
        <f>'ID+C credit category view'!F55</f>
        <v>Air Quality Testing and Monitoring</v>
      </c>
      <c r="O21" s="269" t="str">
        <f>'ID+C credit category view'!K55</f>
        <v/>
      </c>
      <c r="P21" s="9"/>
      <c r="Q21" s="15"/>
      <c r="R21" s="15"/>
      <c r="S21" s="15"/>
      <c r="W21" s="269"/>
      <c r="X21" s="10"/>
      <c r="Y21" s="22"/>
    </row>
    <row r="22" spans="1:31" s="6" customFormat="1" ht="22.05" customHeight="1" x14ac:dyDescent="0.3">
      <c r="A22" s="128" t="b">
        <f>'ID+C credit category view'!A34&gt;0</f>
        <v>0</v>
      </c>
      <c r="B22" s="128" t="b">
        <f>'ID+C credit category view'!B34&gt;0</f>
        <v>0</v>
      </c>
      <c r="C22" s="128" t="b">
        <f>'ID+C credit category view'!C34&gt;0</f>
        <v>0</v>
      </c>
      <c r="D22" s="232" t="s">
        <v>47</v>
      </c>
      <c r="E22" s="17" t="str">
        <f>'ID+C credit category view'!E34</f>
        <v>EAc4</v>
      </c>
      <c r="F22" s="17" t="str">
        <f>'ID+C credit category view'!F34</f>
        <v>Enhanced Commissioning</v>
      </c>
      <c r="G22" s="269" t="str">
        <f>'ID+C credit category view'!K34</f>
        <v/>
      </c>
      <c r="H22" s="3"/>
      <c r="I22" s="16"/>
      <c r="J22" s="16"/>
      <c r="K22" s="16"/>
      <c r="L22" s="233"/>
      <c r="M22" s="233"/>
      <c r="N22" s="233"/>
      <c r="O22" s="276"/>
      <c r="P22" s="9"/>
      <c r="Q22" s="15"/>
      <c r="R22" s="15"/>
      <c r="S22" s="15"/>
      <c r="W22" s="273"/>
      <c r="X22" s="10"/>
      <c r="Y22" s="22"/>
    </row>
    <row r="23" spans="1:31" s="6" customFormat="1" ht="22.05" customHeight="1" x14ac:dyDescent="0.3">
      <c r="A23" s="128" t="b">
        <f>'ID+C credit category view'!A35&gt;0</f>
        <v>0</v>
      </c>
      <c r="B23" s="128" t="b">
        <f>'ID+C credit category view'!B35&gt;0</f>
        <v>0</v>
      </c>
      <c r="C23" s="128" t="b">
        <f>'ID+C credit category view'!C35&gt;0</f>
        <v>0</v>
      </c>
      <c r="D23" s="232" t="s">
        <v>47</v>
      </c>
      <c r="E23" s="17" t="str">
        <f>'ID+C credit category view'!E35</f>
        <v>EAc5</v>
      </c>
      <c r="F23" s="17" t="str">
        <f>'ID+C credit category view'!F35</f>
        <v>Grid Interactive</v>
      </c>
      <c r="G23" s="269" t="str">
        <f>'ID+C credit category view'!K35</f>
        <v/>
      </c>
      <c r="H23" s="3"/>
      <c r="I23" s="16"/>
      <c r="J23" s="16"/>
      <c r="K23" s="16"/>
      <c r="L23" s="233"/>
      <c r="M23" s="233"/>
      <c r="N23" s="233"/>
      <c r="O23" s="276"/>
      <c r="P23" s="9"/>
      <c r="Q23" s="15"/>
      <c r="R23" s="15"/>
      <c r="S23" s="15"/>
      <c r="W23" s="273"/>
      <c r="X23" s="10"/>
      <c r="Y23" s="22"/>
    </row>
    <row r="24" spans="1:31" s="6" customFormat="1" ht="22.05" customHeight="1" x14ac:dyDescent="0.3">
      <c r="A24" s="128" t="b">
        <f>'ID+C credit category view'!A36&gt;0</f>
        <v>0</v>
      </c>
      <c r="B24" s="128" t="b">
        <f>'ID+C credit category view'!B36&gt;0</f>
        <v>0</v>
      </c>
      <c r="C24" s="128" t="b">
        <f>'ID+C credit category view'!C36&gt;0</f>
        <v>0</v>
      </c>
      <c r="D24" s="232" t="s">
        <v>47</v>
      </c>
      <c r="E24" s="17" t="str">
        <f>'ID+C credit category view'!E36</f>
        <v>EAc6</v>
      </c>
      <c r="F24" s="17" t="str">
        <f>'ID+C credit category view'!F36</f>
        <v>Enhanced Refrigerant Management</v>
      </c>
      <c r="G24" s="269" t="str">
        <f>'ID+C credit category view'!K36</f>
        <v/>
      </c>
      <c r="H24" s="3"/>
      <c r="I24" s="16"/>
      <c r="J24" s="16"/>
      <c r="K24" s="16"/>
      <c r="L24" s="233"/>
      <c r="M24" s="233"/>
      <c r="N24" s="233"/>
      <c r="O24" s="276"/>
      <c r="P24" s="9"/>
      <c r="Q24" s="15"/>
      <c r="R24" s="15"/>
      <c r="S24" s="15"/>
      <c r="W24" s="276"/>
      <c r="X24" s="8"/>
      <c r="Y24" s="22"/>
    </row>
    <row r="25" spans="1:31" s="6" customFormat="1" ht="22.05" customHeight="1" x14ac:dyDescent="0.3">
      <c r="A25" s="225" t="b">
        <f>'ID+C credit category view'!A39</f>
        <v>0</v>
      </c>
      <c r="B25" s="225" t="b">
        <f>'ID+C credit category view'!B39</f>
        <v>0</v>
      </c>
      <c r="C25" s="225" t="b">
        <f>'ID+C credit category view'!C39</f>
        <v>0</v>
      </c>
      <c r="D25" s="227" t="s">
        <v>121</v>
      </c>
      <c r="E25" s="33" t="str">
        <f>'ID+C credit category view'!E39</f>
        <v>MRp1</v>
      </c>
      <c r="F25" s="18" t="str">
        <f>'ID+C credit category view'!F39</f>
        <v>Planning for Zero Waste Operations</v>
      </c>
      <c r="G25" s="269"/>
      <c r="H25" s="3"/>
      <c r="I25" s="16"/>
      <c r="J25" s="16"/>
      <c r="K25" s="16"/>
      <c r="O25" s="276"/>
      <c r="Q25" s="15"/>
      <c r="R25" s="15"/>
      <c r="S25" s="15"/>
      <c r="W25" s="276"/>
      <c r="X25" s="7"/>
      <c r="Y25" s="22"/>
    </row>
    <row r="26" spans="1:31" s="6" customFormat="1" ht="22.05" customHeight="1" x14ac:dyDescent="0.3">
      <c r="A26" s="225" t="b">
        <f>'ID+C credit category view'!A40</f>
        <v>0</v>
      </c>
      <c r="B26" s="225" t="b">
        <f>'ID+C credit category view'!B40</f>
        <v>0</v>
      </c>
      <c r="C26" s="225" t="b">
        <f>'ID+C credit category view'!C40</f>
        <v>0</v>
      </c>
      <c r="D26" s="227" t="s">
        <v>121</v>
      </c>
      <c r="E26" s="33" t="str">
        <f>'ID+C credit category view'!E40</f>
        <v>MRp2</v>
      </c>
      <c r="F26" s="18" t="str">
        <f>'ID+C credit category view'!F40</f>
        <v>Quantify and Assess Embodied Carbon</v>
      </c>
      <c r="G26" s="269"/>
      <c r="H26" s="3"/>
      <c r="I26" s="15"/>
      <c r="J26" s="15"/>
      <c r="K26" s="15"/>
      <c r="O26" s="276"/>
      <c r="W26" s="276"/>
    </row>
    <row r="27" spans="1:31" s="6" customFormat="1" ht="22.05" customHeight="1" x14ac:dyDescent="0.3">
      <c r="A27" s="128" t="b">
        <f>'ID+C credit category view'!A41&gt;0</f>
        <v>0</v>
      </c>
      <c r="B27" s="128" t="b">
        <f>'ID+C credit category view'!B41&gt;0</f>
        <v>0</v>
      </c>
      <c r="C27" s="128" t="b">
        <f>'ID+C credit category view'!C41&gt;0</f>
        <v>0</v>
      </c>
      <c r="D27" s="227" t="s">
        <v>46</v>
      </c>
      <c r="E27" s="17" t="str">
        <f>'ID+C credit category view'!E41</f>
        <v>MRc1</v>
      </c>
      <c r="F27" s="17" t="str">
        <f>'ID+C credit category view'!F41</f>
        <v>Interior Materials Reuse</v>
      </c>
      <c r="G27" s="269" t="str">
        <f>'ID+C credit category view'!K41</f>
        <v/>
      </c>
      <c r="H27" s="3"/>
      <c r="M27" s="25"/>
      <c r="N27" s="25"/>
      <c r="O27" s="277"/>
      <c r="W27" s="277"/>
    </row>
    <row r="28" spans="1:31" s="6" customFormat="1" ht="22.05" customHeight="1" x14ac:dyDescent="0.3">
      <c r="A28" s="128" t="b">
        <f>'ID+C credit category view'!A42&gt;0</f>
        <v>0</v>
      </c>
      <c r="B28" s="128" t="b">
        <f>'ID+C credit category view'!B42&gt;0</f>
        <v>0</v>
      </c>
      <c r="C28" s="128" t="b">
        <f>'ID+C credit category view'!C42&gt;0</f>
        <v>0</v>
      </c>
      <c r="D28" s="227" t="s">
        <v>46</v>
      </c>
      <c r="E28" s="17" t="str">
        <f>'ID+C credit category view'!E42</f>
        <v>MRc2</v>
      </c>
      <c r="F28" s="17" t="str">
        <f>'ID+C credit category view'!F42</f>
        <v xml:space="preserve">Reduce Embodied Carbon </v>
      </c>
      <c r="G28" s="269" t="str">
        <f>'ID+C credit category view'!K42</f>
        <v/>
      </c>
      <c r="H28" s="26"/>
      <c r="M28" s="26"/>
      <c r="N28" s="26"/>
      <c r="O28" s="278"/>
      <c r="P28" s="26"/>
      <c r="W28" s="278"/>
      <c r="AA28" s="26"/>
      <c r="AB28" s="26"/>
      <c r="AC28" s="26"/>
      <c r="AD28" s="26"/>
      <c r="AE28" s="26"/>
    </row>
    <row r="29" spans="1:31" x14ac:dyDescent="0.3">
      <c r="A29" s="128" t="b">
        <f>'ID+C credit category view'!A44&gt;0</f>
        <v>0</v>
      </c>
      <c r="B29" s="128" t="b">
        <f>'ID+C credit category view'!B44&gt;0</f>
        <v>0</v>
      </c>
      <c r="C29" s="128" t="b">
        <f>'ID+C credit category view'!C44&gt;0</f>
        <v>0</v>
      </c>
      <c r="D29" s="227" t="s">
        <v>46</v>
      </c>
      <c r="E29" s="17" t="str">
        <f>'ID+C credit category view'!E44</f>
        <v>MRc4</v>
      </c>
      <c r="F29" s="17" t="str">
        <f>'ID+C credit category view'!F44</f>
        <v xml:space="preserve">Building Product Selection and Procurement </v>
      </c>
      <c r="G29" s="269" t="str">
        <f>'ID+C credit category view'!K44</f>
        <v/>
      </c>
      <c r="H29" s="26"/>
      <c r="I29" s="108"/>
      <c r="J29" s="108"/>
      <c r="K29" s="108"/>
      <c r="L29" s="26"/>
      <c r="M29" s="26"/>
      <c r="N29" s="26"/>
      <c r="O29" s="278"/>
      <c r="P29" s="26"/>
      <c r="Q29" s="108"/>
      <c r="R29" s="108"/>
      <c r="S29" s="108"/>
      <c r="T29" s="26"/>
      <c r="W29" s="278"/>
      <c r="X29" s="3"/>
      <c r="Y29" s="3"/>
      <c r="AA29" s="26"/>
      <c r="AB29" s="26"/>
      <c r="AC29" s="26"/>
      <c r="AD29" s="26"/>
      <c r="AE29" s="26"/>
    </row>
    <row r="30" spans="1:31" ht="22.05" customHeight="1" x14ac:dyDescent="0.3">
      <c r="A30" s="128" t="b">
        <f>'ID+C credit category view'!A45&gt;0</f>
        <v>0</v>
      </c>
      <c r="B30" s="128" t="b">
        <f>'ID+C credit category view'!B45&gt;0</f>
        <v>0</v>
      </c>
      <c r="C30" s="128" t="b">
        <f>'ID+C credit category view'!C45&gt;0</f>
        <v>0</v>
      </c>
      <c r="D30" s="227" t="s">
        <v>46</v>
      </c>
      <c r="E30" s="17" t="str">
        <f>'ID+C credit category view'!E45</f>
        <v>MRc5</v>
      </c>
      <c r="F30" s="17" t="str">
        <f>'ID+C credit category view'!F45</f>
        <v>Construction and Demolition Waste Diversion</v>
      </c>
      <c r="G30" s="269" t="str">
        <f>'ID+C credit category view'!K45</f>
        <v/>
      </c>
      <c r="H30" s="26"/>
      <c r="I30" s="26"/>
      <c r="J30" s="26"/>
      <c r="K30" s="26"/>
      <c r="L30" s="26"/>
      <c r="M30" s="24"/>
      <c r="N30" s="24"/>
      <c r="O30" s="277"/>
      <c r="P30" s="23"/>
      <c r="Q30" s="26"/>
      <c r="R30" s="26"/>
      <c r="S30" s="26"/>
      <c r="T30" s="26"/>
      <c r="W30" s="277"/>
      <c r="X30" s="3"/>
      <c r="Y30" s="3"/>
    </row>
    <row r="31" spans="1:31" s="6" customFormat="1" ht="22.05" customHeight="1" x14ac:dyDescent="0.3">
      <c r="A31" s="143"/>
      <c r="B31" s="144"/>
      <c r="C31" s="144"/>
      <c r="D31" s="144"/>
      <c r="E31" s="144"/>
      <c r="F31" s="145"/>
      <c r="G31" s="272"/>
      <c r="H31" s="26"/>
      <c r="I31" s="143"/>
      <c r="J31" s="144"/>
      <c r="K31" s="144"/>
      <c r="L31" s="144"/>
      <c r="M31" s="144"/>
      <c r="N31" s="145"/>
      <c r="O31" s="278"/>
      <c r="P31" s="26"/>
      <c r="Q31" s="146"/>
      <c r="R31" s="147"/>
      <c r="S31" s="147"/>
      <c r="T31" s="147"/>
      <c r="U31" s="147"/>
      <c r="V31" s="148"/>
      <c r="W31" s="278"/>
      <c r="AA31" s="26"/>
      <c r="AB31" s="26"/>
      <c r="AC31" s="26"/>
    </row>
    <row r="32" spans="1:31" ht="22.05" customHeight="1" x14ac:dyDescent="0.3">
      <c r="D32" s="5"/>
      <c r="E32" s="5"/>
      <c r="F32" s="26"/>
      <c r="G32" s="272"/>
      <c r="H32" s="26"/>
      <c r="I32" s="26"/>
      <c r="J32" s="26"/>
      <c r="K32" s="26"/>
      <c r="L32" s="26"/>
      <c r="M32" s="26"/>
      <c r="N32" s="26"/>
      <c r="O32" s="278"/>
      <c r="P32" s="26"/>
      <c r="Q32" s="26"/>
      <c r="R32" s="26"/>
      <c r="S32" s="26"/>
      <c r="T32" s="26"/>
      <c r="U32" s="26"/>
      <c r="V32" s="26"/>
      <c r="W32" s="278"/>
      <c r="X32" s="26"/>
      <c r="Y32" s="26"/>
      <c r="Z32" s="26"/>
      <c r="AA32" s="26"/>
      <c r="AB32" s="26"/>
      <c r="AC32" s="26"/>
    </row>
    <row r="33" spans="6:29" ht="22.05" customHeight="1" x14ac:dyDescent="0.3">
      <c r="F33" s="26"/>
      <c r="G33" s="272"/>
      <c r="H33" s="26"/>
      <c r="I33" s="26"/>
      <c r="J33" s="26"/>
      <c r="K33" s="26"/>
      <c r="L33" s="26"/>
      <c r="M33" s="26"/>
      <c r="N33" s="26"/>
      <c r="O33" s="278"/>
      <c r="P33" s="26"/>
      <c r="Q33" s="26"/>
      <c r="R33" s="26"/>
      <c r="S33" s="26"/>
      <c r="T33" s="26"/>
      <c r="U33" s="26"/>
      <c r="V33" s="26"/>
      <c r="W33" s="278"/>
      <c r="X33" s="26"/>
      <c r="Y33" s="26"/>
      <c r="Z33" s="26"/>
      <c r="AA33" s="26"/>
      <c r="AB33" s="26"/>
      <c r="AC33" s="26"/>
    </row>
    <row r="34" spans="6:29" ht="22.05" customHeight="1" x14ac:dyDescent="0.3">
      <c r="F34" s="26"/>
      <c r="G34" s="272"/>
      <c r="H34" s="26"/>
      <c r="I34" s="26"/>
      <c r="J34" s="26"/>
      <c r="K34" s="26"/>
      <c r="L34" s="26"/>
      <c r="M34" s="26"/>
      <c r="N34" s="26"/>
      <c r="O34" s="278"/>
      <c r="P34" s="26"/>
      <c r="Q34" s="26"/>
      <c r="R34" s="26"/>
      <c r="S34" s="26"/>
      <c r="T34" s="26"/>
      <c r="U34" s="26"/>
      <c r="V34" s="26"/>
      <c r="W34" s="278"/>
      <c r="X34" s="26"/>
      <c r="Y34" s="26"/>
      <c r="Z34" s="26"/>
      <c r="AA34" s="26"/>
      <c r="AB34" s="26"/>
      <c r="AC34" s="26"/>
    </row>
    <row r="35" spans="6:29" ht="22.05" customHeight="1" x14ac:dyDescent="0.3">
      <c r="F35" s="26"/>
      <c r="G35" s="272"/>
      <c r="H35" s="26"/>
      <c r="I35" s="26"/>
      <c r="J35" s="26"/>
      <c r="K35" s="26"/>
      <c r="L35" s="26"/>
      <c r="M35" s="26"/>
      <c r="N35" s="26"/>
      <c r="O35" s="278"/>
      <c r="P35" s="26"/>
      <c r="Q35" s="26"/>
      <c r="R35" s="26"/>
      <c r="S35" s="26"/>
      <c r="T35" s="26"/>
      <c r="U35" s="26"/>
      <c r="V35" s="26"/>
      <c r="W35" s="278"/>
      <c r="X35" s="26"/>
      <c r="Y35" s="26"/>
      <c r="Z35" s="26"/>
      <c r="AA35" s="26"/>
      <c r="AB35" s="26"/>
      <c r="AC35" s="26"/>
    </row>
    <row r="36" spans="6:29" x14ac:dyDescent="0.3">
      <c r="F36" s="26"/>
      <c r="G36" s="272"/>
      <c r="H36" s="26"/>
      <c r="I36" s="26"/>
      <c r="J36" s="26"/>
      <c r="K36" s="26"/>
      <c r="L36" s="26"/>
      <c r="M36" s="26"/>
      <c r="N36" s="26"/>
      <c r="O36" s="278"/>
      <c r="P36" s="26"/>
      <c r="Q36" s="26"/>
      <c r="R36" s="26"/>
      <c r="S36" s="26"/>
      <c r="T36" s="26"/>
      <c r="U36" s="26"/>
      <c r="V36" s="26"/>
      <c r="W36" s="278"/>
      <c r="X36" s="26"/>
      <c r="Y36" s="26"/>
      <c r="Z36" s="26"/>
      <c r="AA36" s="26"/>
      <c r="AB36" s="26"/>
      <c r="AC36" s="26"/>
    </row>
    <row r="37" spans="6:29" x14ac:dyDescent="0.3">
      <c r="F37" s="26"/>
      <c r="G37" s="272"/>
      <c r="H37" s="26"/>
      <c r="I37" s="26"/>
      <c r="J37" s="26"/>
      <c r="K37" s="26"/>
      <c r="L37" s="26"/>
      <c r="M37" s="26"/>
      <c r="N37" s="26"/>
      <c r="O37" s="278"/>
      <c r="P37" s="26"/>
      <c r="Q37" s="26"/>
      <c r="R37" s="26"/>
      <c r="S37" s="26"/>
      <c r="T37" s="26"/>
      <c r="U37" s="26"/>
      <c r="V37" s="26"/>
      <c r="W37" s="278"/>
      <c r="X37" s="26"/>
      <c r="Y37" s="26"/>
      <c r="Z37" s="26"/>
      <c r="AA37" s="26"/>
      <c r="AB37" s="26"/>
      <c r="AC37" s="26"/>
    </row>
    <row r="38" spans="6:29" x14ac:dyDescent="0.3">
      <c r="F38" s="26"/>
      <c r="G38" s="272"/>
      <c r="H38" s="26"/>
      <c r="I38" s="26"/>
      <c r="J38" s="26"/>
      <c r="K38" s="26"/>
      <c r="L38" s="26"/>
      <c r="M38" s="26"/>
      <c r="N38" s="26"/>
      <c r="O38" s="278"/>
      <c r="P38" s="26"/>
      <c r="Q38" s="26"/>
      <c r="R38" s="26"/>
      <c r="S38" s="26"/>
      <c r="T38" s="26"/>
      <c r="U38" s="26"/>
      <c r="V38" s="26"/>
      <c r="W38" s="278"/>
      <c r="X38" s="26"/>
      <c r="Y38" s="26"/>
      <c r="Z38" s="26"/>
      <c r="AA38" s="26"/>
      <c r="AB38" s="26"/>
      <c r="AC38" s="26"/>
    </row>
    <row r="39" spans="6:29" x14ac:dyDescent="0.3">
      <c r="F39" s="26"/>
      <c r="G39" s="272"/>
      <c r="H39" s="26"/>
      <c r="I39" s="26"/>
      <c r="J39" s="26"/>
      <c r="K39" s="26"/>
      <c r="L39" s="26"/>
      <c r="M39" s="26"/>
      <c r="N39" s="26"/>
      <c r="O39" s="278"/>
      <c r="P39" s="26"/>
      <c r="Q39" s="26"/>
      <c r="R39" s="26"/>
      <c r="S39" s="26"/>
      <c r="T39" s="26"/>
      <c r="U39" s="26"/>
      <c r="V39" s="26"/>
      <c r="W39" s="278"/>
      <c r="X39" s="26"/>
      <c r="Y39" s="26"/>
      <c r="Z39" s="26"/>
      <c r="AA39" s="26"/>
      <c r="AB39" s="26"/>
      <c r="AC39" s="26"/>
    </row>
    <row r="40" spans="6:29" x14ac:dyDescent="0.3">
      <c r="F40" s="26"/>
      <c r="G40" s="272"/>
      <c r="H40" s="26"/>
      <c r="I40" s="26"/>
      <c r="J40" s="26"/>
      <c r="K40" s="26"/>
      <c r="L40" s="26"/>
      <c r="M40" s="26"/>
      <c r="N40" s="26"/>
      <c r="O40" s="278"/>
      <c r="P40" s="26"/>
      <c r="Q40" s="26"/>
      <c r="R40" s="26"/>
      <c r="S40" s="26"/>
      <c r="T40" s="26"/>
      <c r="U40" s="26"/>
      <c r="V40" s="26"/>
      <c r="W40" s="278"/>
      <c r="X40" s="26"/>
      <c r="Y40" s="26"/>
      <c r="Z40" s="26"/>
      <c r="AA40" s="26"/>
      <c r="AB40" s="26"/>
      <c r="AC40" s="26"/>
    </row>
    <row r="41" spans="6:29" x14ac:dyDescent="0.3">
      <c r="F41" s="19"/>
      <c r="N41" s="4"/>
      <c r="P41" s="4"/>
      <c r="X41" s="3"/>
      <c r="Y41" s="3"/>
    </row>
    <row r="42" spans="6:29" x14ac:dyDescent="0.3">
      <c r="F42" s="19"/>
      <c r="N42" s="4"/>
      <c r="P42" s="4"/>
      <c r="X42" s="3"/>
      <c r="Y42" s="3"/>
    </row>
    <row r="43" spans="6:29" x14ac:dyDescent="0.3">
      <c r="F43" s="19"/>
      <c r="N43" s="4"/>
      <c r="P43" s="4"/>
      <c r="X43" s="3"/>
      <c r="Y43" s="3"/>
    </row>
    <row r="44" spans="6:29" x14ac:dyDescent="0.3">
      <c r="F44" s="19"/>
      <c r="X44" s="3"/>
      <c r="Y44" s="3"/>
    </row>
    <row r="45" spans="6:29" x14ac:dyDescent="0.3">
      <c r="F45" s="19"/>
      <c r="X45" s="3"/>
      <c r="Y45" s="3"/>
    </row>
    <row r="46" spans="6:29" x14ac:dyDescent="0.3">
      <c r="X46" s="3"/>
      <c r="Y46" s="3"/>
    </row>
    <row r="47" spans="6:29" x14ac:dyDescent="0.3">
      <c r="X47" s="3"/>
      <c r="Y47" s="3"/>
    </row>
    <row r="48" spans="6:29" x14ac:dyDescent="0.3">
      <c r="X48" s="3"/>
      <c r="Y48" s="3"/>
    </row>
  </sheetData>
  <mergeCells count="3">
    <mergeCell ref="I5:N5"/>
    <mergeCell ref="A5:F5"/>
    <mergeCell ref="Q5:V5"/>
  </mergeCells>
  <pageMargins left="0.25" right="0.25" top="0.75" bottom="0.75" header="0.3" footer="0.3"/>
  <pageSetup scale="37"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811D-8430-4F55-93DB-36C4F1D577B6}">
  <dimension ref="A1:BZ54"/>
  <sheetViews>
    <sheetView workbookViewId="0"/>
  </sheetViews>
  <sheetFormatPr defaultRowHeight="14.4" x14ac:dyDescent="0.3"/>
  <cols>
    <col min="1" max="29" width="8.88671875" style="150"/>
    <col min="30" max="62" width="8.88671875" style="210"/>
    <col min="63" max="73" width="8.88671875" style="199"/>
    <col min="74" max="75" width="8.88671875" style="210"/>
    <col min="76" max="16384" width="8.88671875" style="150"/>
  </cols>
  <sheetData>
    <row r="1" spans="1:78" ht="22.2" x14ac:dyDescent="0.3">
      <c r="A1" s="34"/>
      <c r="B1" s="34"/>
      <c r="C1" s="34"/>
      <c r="D1" s="35"/>
      <c r="E1" s="36"/>
      <c r="F1" s="37"/>
      <c r="G1" s="38"/>
      <c r="H1" s="38"/>
      <c r="I1" s="39"/>
      <c r="J1" s="40"/>
      <c r="K1" s="77"/>
      <c r="L1" s="77"/>
      <c r="M1" s="130"/>
      <c r="BJ1" s="211"/>
      <c r="BN1" s="200"/>
    </row>
    <row r="2" spans="1:78" ht="27.6" x14ac:dyDescent="0.3">
      <c r="A2" s="41" t="s">
        <v>78</v>
      </c>
      <c r="B2" s="41"/>
      <c r="C2" s="34"/>
      <c r="D2" s="35"/>
      <c r="E2" s="40"/>
      <c r="F2" s="42"/>
      <c r="G2" s="42"/>
      <c r="H2" s="42"/>
      <c r="I2" s="43"/>
      <c r="J2" s="40"/>
      <c r="K2" s="77"/>
      <c r="L2" s="77"/>
      <c r="M2" s="130"/>
      <c r="BJ2" s="211"/>
      <c r="BN2" s="200"/>
    </row>
    <row r="3" spans="1:78" ht="13.95" customHeight="1" x14ac:dyDescent="0.3">
      <c r="A3" s="164" t="s">
        <v>74</v>
      </c>
      <c r="B3" s="188"/>
      <c r="C3" s="165"/>
      <c r="D3" s="189"/>
      <c r="E3" s="167"/>
      <c r="F3" s="190"/>
      <c r="G3" s="190"/>
      <c r="H3" s="190"/>
      <c r="I3" s="191"/>
      <c r="J3" s="167"/>
      <c r="K3" s="169"/>
      <c r="L3" s="169"/>
      <c r="M3" s="170"/>
      <c r="N3" s="171"/>
      <c r="O3" s="171"/>
      <c r="P3" s="171"/>
      <c r="Q3" s="171"/>
      <c r="R3" s="171"/>
      <c r="S3" s="171"/>
      <c r="T3" s="171"/>
      <c r="U3" s="171"/>
      <c r="V3" s="171"/>
      <c r="W3" s="171"/>
      <c r="X3" s="171"/>
      <c r="BJ3" s="211"/>
    </row>
    <row r="4" spans="1:78" x14ac:dyDescent="0.3">
      <c r="B4" s="164"/>
      <c r="C4" s="165"/>
      <c r="D4" s="166"/>
      <c r="E4" s="167"/>
      <c r="F4" s="167"/>
      <c r="G4" s="167"/>
      <c r="H4" s="167"/>
      <c r="I4" s="168"/>
      <c r="J4" s="167"/>
      <c r="K4" s="169"/>
      <c r="L4" s="169"/>
      <c r="M4" s="170"/>
      <c r="N4" s="171"/>
      <c r="O4" s="171"/>
      <c r="P4" s="171"/>
      <c r="Q4" s="171"/>
      <c r="R4" s="171"/>
      <c r="S4" s="171"/>
      <c r="T4" s="171"/>
      <c r="U4" s="171"/>
      <c r="V4" s="171"/>
      <c r="W4" s="171"/>
      <c r="X4" s="171"/>
      <c r="BJ4" s="211"/>
      <c r="BN4" s="200"/>
    </row>
    <row r="5" spans="1:78" x14ac:dyDescent="0.3">
      <c r="A5" s="176"/>
      <c r="B5" s="177"/>
      <c r="C5" s="177"/>
      <c r="D5" s="177"/>
      <c r="E5" s="177"/>
      <c r="F5" s="177"/>
      <c r="G5" s="177"/>
      <c r="H5" s="177"/>
      <c r="I5" s="177"/>
      <c r="J5" s="177"/>
      <c r="K5" s="177"/>
      <c r="L5" s="177"/>
      <c r="M5" s="177"/>
      <c r="N5" s="177"/>
      <c r="O5" s="177"/>
      <c r="P5" s="177"/>
      <c r="Q5" s="177"/>
      <c r="R5" s="177"/>
      <c r="S5" s="177"/>
      <c r="T5" s="177"/>
      <c r="U5" s="177"/>
      <c r="V5" s="177"/>
      <c r="W5" s="177"/>
      <c r="X5" s="178"/>
      <c r="Y5" s="149"/>
      <c r="BJ5" s="211"/>
      <c r="BN5" s="200"/>
    </row>
    <row r="6" spans="1:78" x14ac:dyDescent="0.3">
      <c r="A6" s="179"/>
      <c r="B6" s="160"/>
      <c r="C6" s="160"/>
      <c r="D6" s="160"/>
      <c r="E6" s="160"/>
      <c r="F6" s="160"/>
      <c r="G6" s="160"/>
      <c r="H6" s="160"/>
      <c r="I6" s="160"/>
      <c r="J6" s="160"/>
      <c r="K6" s="160"/>
      <c r="L6" s="160"/>
      <c r="M6" s="160"/>
      <c r="N6" s="160"/>
      <c r="O6" s="160"/>
      <c r="P6" s="160"/>
      <c r="Q6" s="160"/>
      <c r="R6" s="160"/>
      <c r="S6" s="160"/>
      <c r="T6" s="160"/>
      <c r="U6" s="160"/>
      <c r="V6" s="160"/>
      <c r="W6" s="160"/>
      <c r="X6" s="180"/>
      <c r="Y6" s="149"/>
      <c r="BK6" s="201"/>
      <c r="BL6" s="201"/>
      <c r="BM6" s="201"/>
      <c r="BN6" s="202"/>
    </row>
    <row r="7" spans="1:78" ht="18" x14ac:dyDescent="0.3">
      <c r="A7" s="179"/>
      <c r="B7" s="160"/>
      <c r="C7" s="160"/>
      <c r="D7" s="160"/>
      <c r="E7" s="160"/>
      <c r="F7" s="160"/>
      <c r="G7" s="160"/>
      <c r="H7" s="160"/>
      <c r="I7" s="160"/>
      <c r="J7" s="160"/>
      <c r="K7" s="160"/>
      <c r="L7" s="160"/>
      <c r="M7" s="160"/>
      <c r="N7" s="160"/>
      <c r="O7" s="160"/>
      <c r="P7" s="160"/>
      <c r="Q7" s="160"/>
      <c r="R7" s="160"/>
      <c r="S7" s="160"/>
      <c r="T7" s="160"/>
      <c r="U7" s="160"/>
      <c r="V7" s="160"/>
      <c r="W7" s="160"/>
      <c r="X7" s="180"/>
      <c r="Y7" s="149"/>
      <c r="BW7" s="212"/>
      <c r="BX7" s="151"/>
      <c r="BY7" s="152"/>
      <c r="BZ7" s="151"/>
    </row>
    <row r="8" spans="1:78" ht="18" x14ac:dyDescent="0.3">
      <c r="A8" s="179"/>
      <c r="B8" s="160"/>
      <c r="C8" s="160"/>
      <c r="D8" s="160"/>
      <c r="E8" s="160"/>
      <c r="F8" s="160"/>
      <c r="G8" s="160"/>
      <c r="H8" s="160"/>
      <c r="I8" s="160"/>
      <c r="J8" s="160"/>
      <c r="K8" s="160"/>
      <c r="L8" s="160"/>
      <c r="M8" s="160"/>
      <c r="N8" s="160"/>
      <c r="O8" s="160"/>
      <c r="P8" s="160"/>
      <c r="Q8" s="160"/>
      <c r="R8" s="160"/>
      <c r="S8" s="160"/>
      <c r="T8" s="160"/>
      <c r="U8" s="160"/>
      <c r="V8" s="160"/>
      <c r="W8" s="160"/>
      <c r="X8" s="180"/>
      <c r="Y8" s="149"/>
      <c r="BW8" s="213"/>
      <c r="BX8" s="154"/>
      <c r="BY8" s="153"/>
      <c r="BZ8" s="155"/>
    </row>
    <row r="9" spans="1:78" x14ac:dyDescent="0.3">
      <c r="A9" s="179"/>
      <c r="B9" s="160"/>
      <c r="C9" s="160"/>
      <c r="D9" s="160"/>
      <c r="E9" s="160"/>
      <c r="F9" s="160"/>
      <c r="G9" s="160"/>
      <c r="H9" s="160"/>
      <c r="I9" s="160"/>
      <c r="J9" s="160"/>
      <c r="K9" s="160"/>
      <c r="L9" s="160"/>
      <c r="M9" s="160"/>
      <c r="N9" s="160"/>
      <c r="O9" s="160"/>
      <c r="P9" s="160"/>
      <c r="Q9" s="160"/>
      <c r="R9" s="160"/>
      <c r="S9" s="160"/>
      <c r="T9" s="160"/>
      <c r="U9" s="160"/>
      <c r="V9" s="160"/>
      <c r="W9" s="160"/>
      <c r="X9" s="180"/>
      <c r="Y9" s="149"/>
    </row>
    <row r="10" spans="1:78" x14ac:dyDescent="0.3">
      <c r="A10" s="179"/>
      <c r="B10" s="160"/>
      <c r="C10" s="160"/>
      <c r="D10" s="160"/>
      <c r="E10" s="160"/>
      <c r="F10" s="160"/>
      <c r="G10" s="160"/>
      <c r="H10" s="160"/>
      <c r="I10" s="160"/>
      <c r="J10" s="160"/>
      <c r="K10" s="160"/>
      <c r="L10" s="160"/>
      <c r="M10" s="160"/>
      <c r="N10" s="160"/>
      <c r="O10" s="160"/>
      <c r="P10" s="160"/>
      <c r="Q10" s="160"/>
      <c r="R10" s="160"/>
      <c r="S10" s="160"/>
      <c r="T10" s="160"/>
      <c r="U10" s="160"/>
      <c r="V10" s="160"/>
      <c r="W10" s="160"/>
      <c r="X10" s="180"/>
      <c r="Y10" s="149"/>
    </row>
    <row r="11" spans="1:78" x14ac:dyDescent="0.3">
      <c r="A11" s="179"/>
      <c r="B11" s="160"/>
      <c r="C11" s="160"/>
      <c r="D11" s="160"/>
      <c r="E11" s="160"/>
      <c r="F11" s="160"/>
      <c r="G11" s="160"/>
      <c r="H11" s="160"/>
      <c r="I11" s="160"/>
      <c r="J11" s="160"/>
      <c r="K11" s="160"/>
      <c r="L11" s="160"/>
      <c r="M11" s="160"/>
      <c r="N11" s="160"/>
      <c r="O11" s="160"/>
      <c r="P11" s="160"/>
      <c r="Q11" s="160"/>
      <c r="R11" s="160"/>
      <c r="S11" s="160"/>
      <c r="T11" s="160"/>
      <c r="U11" s="160"/>
      <c r="V11" s="160"/>
      <c r="W11" s="160"/>
      <c r="X11" s="180"/>
      <c r="Y11" s="149"/>
    </row>
    <row r="12" spans="1:78" x14ac:dyDescent="0.3">
      <c r="A12" s="179"/>
      <c r="B12" s="160"/>
      <c r="C12" s="160"/>
      <c r="D12" s="160"/>
      <c r="E12" s="160"/>
      <c r="F12" s="160"/>
      <c r="G12" s="160"/>
      <c r="H12" s="160"/>
      <c r="I12" s="160"/>
      <c r="J12" s="160"/>
      <c r="K12" s="160"/>
      <c r="L12" s="160"/>
      <c r="M12" s="160"/>
      <c r="N12" s="160"/>
      <c r="O12" s="160"/>
      <c r="P12" s="160"/>
      <c r="Q12" s="160"/>
      <c r="R12" s="160"/>
      <c r="S12" s="160"/>
      <c r="T12" s="160"/>
      <c r="U12" s="160"/>
      <c r="V12" s="160"/>
      <c r="W12" s="160"/>
      <c r="X12" s="180"/>
      <c r="Y12" s="149"/>
    </row>
    <row r="13" spans="1:78" x14ac:dyDescent="0.3">
      <c r="A13" s="179"/>
      <c r="B13" s="160"/>
      <c r="C13" s="160"/>
      <c r="D13" s="160"/>
      <c r="E13" s="160"/>
      <c r="F13" s="160"/>
      <c r="G13" s="160"/>
      <c r="H13" s="160"/>
      <c r="I13" s="160"/>
      <c r="J13" s="160"/>
      <c r="K13" s="160"/>
      <c r="L13" s="160"/>
      <c r="M13" s="160"/>
      <c r="N13" s="160"/>
      <c r="O13" s="160"/>
      <c r="P13" s="160"/>
      <c r="Q13" s="160"/>
      <c r="R13" s="160"/>
      <c r="S13" s="160"/>
      <c r="T13" s="160"/>
      <c r="U13" s="160"/>
      <c r="V13" s="160"/>
      <c r="W13" s="160"/>
      <c r="X13" s="180"/>
      <c r="Y13" s="149"/>
    </row>
    <row r="14" spans="1:78" x14ac:dyDescent="0.3">
      <c r="A14" s="179"/>
      <c r="B14" s="160"/>
      <c r="C14" s="160"/>
      <c r="D14" s="160"/>
      <c r="E14" s="160"/>
      <c r="F14" s="160"/>
      <c r="G14" s="160"/>
      <c r="H14" s="160"/>
      <c r="I14" s="160"/>
      <c r="J14" s="160"/>
      <c r="K14" s="160"/>
      <c r="L14" s="160"/>
      <c r="M14" s="160"/>
      <c r="N14" s="160"/>
      <c r="O14" s="160"/>
      <c r="P14" s="160"/>
      <c r="Q14" s="160"/>
      <c r="R14" s="160"/>
      <c r="S14" s="160"/>
      <c r="T14" s="160"/>
      <c r="U14" s="160"/>
      <c r="V14" s="160"/>
      <c r="W14" s="160"/>
      <c r="X14" s="180"/>
      <c r="Y14" s="149"/>
    </row>
    <row r="15" spans="1:78" x14ac:dyDescent="0.3">
      <c r="A15" s="179"/>
      <c r="B15" s="160"/>
      <c r="C15" s="160"/>
      <c r="D15" s="160"/>
      <c r="E15" s="160"/>
      <c r="F15" s="160"/>
      <c r="G15" s="160"/>
      <c r="H15" s="160"/>
      <c r="I15" s="160"/>
      <c r="J15" s="160"/>
      <c r="K15" s="160"/>
      <c r="L15" s="160"/>
      <c r="M15" s="160"/>
      <c r="N15" s="160"/>
      <c r="O15" s="160"/>
      <c r="P15" s="160"/>
      <c r="Q15" s="160"/>
      <c r="R15" s="160"/>
      <c r="S15" s="160"/>
      <c r="T15" s="160"/>
      <c r="U15" s="160"/>
      <c r="V15" s="160"/>
      <c r="W15" s="160"/>
      <c r="X15" s="180"/>
      <c r="Y15" s="149"/>
    </row>
    <row r="16" spans="1:78" x14ac:dyDescent="0.3">
      <c r="A16" s="179"/>
      <c r="B16" s="160"/>
      <c r="C16" s="160"/>
      <c r="D16" s="160"/>
      <c r="E16" s="160"/>
      <c r="F16" s="160"/>
      <c r="G16" s="160"/>
      <c r="H16" s="160"/>
      <c r="I16" s="160"/>
      <c r="J16" s="160"/>
      <c r="K16" s="160"/>
      <c r="L16" s="160"/>
      <c r="M16" s="160"/>
      <c r="N16" s="160"/>
      <c r="O16" s="160"/>
      <c r="P16" s="160"/>
      <c r="Q16" s="160"/>
      <c r="R16" s="160"/>
      <c r="S16" s="160"/>
      <c r="T16" s="160"/>
      <c r="U16" s="160"/>
      <c r="V16" s="160"/>
      <c r="W16" s="160"/>
      <c r="X16" s="180"/>
      <c r="Y16" s="149"/>
    </row>
    <row r="17" spans="1:25" x14ac:dyDescent="0.3">
      <c r="A17" s="179"/>
      <c r="B17" s="160"/>
      <c r="C17" s="160"/>
      <c r="D17" s="160"/>
      <c r="E17" s="160"/>
      <c r="F17" s="160"/>
      <c r="G17" s="160"/>
      <c r="H17" s="160"/>
      <c r="I17" s="160"/>
      <c r="J17" s="160"/>
      <c r="K17" s="160"/>
      <c r="L17" s="160"/>
      <c r="M17" s="160"/>
      <c r="N17" s="160"/>
      <c r="O17" s="160"/>
      <c r="P17" s="160"/>
      <c r="Q17" s="160"/>
      <c r="R17" s="160"/>
      <c r="S17" s="160"/>
      <c r="T17" s="160"/>
      <c r="U17" s="160"/>
      <c r="V17" s="160"/>
      <c r="W17" s="160"/>
      <c r="X17" s="180"/>
      <c r="Y17" s="149"/>
    </row>
    <row r="18" spans="1:25" x14ac:dyDescent="0.3">
      <c r="A18" s="179"/>
      <c r="B18" s="160"/>
      <c r="C18" s="160"/>
      <c r="D18" s="160"/>
      <c r="E18" s="160"/>
      <c r="F18" s="160"/>
      <c r="G18" s="160"/>
      <c r="H18" s="160"/>
      <c r="I18" s="160"/>
      <c r="J18" s="160"/>
      <c r="K18" s="160"/>
      <c r="L18" s="160"/>
      <c r="M18" s="160"/>
      <c r="N18" s="160"/>
      <c r="O18" s="160"/>
      <c r="P18" s="160"/>
      <c r="Q18" s="160"/>
      <c r="R18" s="160"/>
      <c r="S18" s="160"/>
      <c r="T18" s="160"/>
      <c r="U18" s="160"/>
      <c r="V18" s="160"/>
      <c r="W18" s="160"/>
      <c r="X18" s="180"/>
      <c r="Y18" s="149"/>
    </row>
    <row r="19" spans="1:25" x14ac:dyDescent="0.3">
      <c r="A19" s="179"/>
      <c r="B19" s="160"/>
      <c r="C19" s="160"/>
      <c r="D19" s="160"/>
      <c r="E19" s="160"/>
      <c r="F19" s="160"/>
      <c r="G19" s="160"/>
      <c r="H19" s="160"/>
      <c r="I19" s="160"/>
      <c r="J19" s="160"/>
      <c r="K19" s="160"/>
      <c r="L19" s="160"/>
      <c r="M19" s="160"/>
      <c r="N19" s="160"/>
      <c r="O19" s="160"/>
      <c r="P19" s="160"/>
      <c r="Q19" s="160"/>
      <c r="R19" s="160"/>
      <c r="S19" s="160"/>
      <c r="T19" s="160"/>
      <c r="U19" s="160"/>
      <c r="V19" s="160"/>
      <c r="W19" s="160"/>
      <c r="X19" s="180"/>
      <c r="Y19" s="149"/>
    </row>
    <row r="20" spans="1:25" x14ac:dyDescent="0.3">
      <c r="A20" s="179"/>
      <c r="B20" s="160"/>
      <c r="C20" s="160"/>
      <c r="D20" s="160"/>
      <c r="E20" s="160"/>
      <c r="F20" s="160"/>
      <c r="G20" s="160"/>
      <c r="H20" s="160"/>
      <c r="I20" s="160"/>
      <c r="J20" s="160"/>
      <c r="K20" s="160"/>
      <c r="L20" s="160"/>
      <c r="M20" s="160"/>
      <c r="N20" s="160"/>
      <c r="O20" s="160"/>
      <c r="P20" s="160"/>
      <c r="Q20" s="160"/>
      <c r="R20" s="160"/>
      <c r="S20" s="160"/>
      <c r="T20" s="160"/>
      <c r="U20" s="160"/>
      <c r="V20" s="160"/>
      <c r="W20" s="160"/>
      <c r="X20" s="180"/>
      <c r="Y20" s="149"/>
    </row>
    <row r="21" spans="1:25" x14ac:dyDescent="0.3">
      <c r="A21" s="179"/>
      <c r="B21" s="160"/>
      <c r="C21" s="160"/>
      <c r="D21" s="160"/>
      <c r="E21" s="160"/>
      <c r="F21" s="160"/>
      <c r="G21" s="160"/>
      <c r="H21" s="160"/>
      <c r="I21" s="160"/>
      <c r="J21" s="160"/>
      <c r="K21" s="160"/>
      <c r="L21" s="160"/>
      <c r="M21" s="160"/>
      <c r="N21" s="160"/>
      <c r="O21" s="160"/>
      <c r="P21" s="160"/>
      <c r="Q21" s="160"/>
      <c r="R21" s="160"/>
      <c r="S21" s="160"/>
      <c r="T21" s="160"/>
      <c r="U21" s="160"/>
      <c r="V21" s="160"/>
      <c r="W21" s="160"/>
      <c r="X21" s="180"/>
      <c r="Y21" s="149"/>
    </row>
    <row r="22" spans="1:25" x14ac:dyDescent="0.3">
      <c r="A22" s="179"/>
      <c r="B22" s="160"/>
      <c r="C22" s="160"/>
      <c r="D22" s="160"/>
      <c r="E22" s="160"/>
      <c r="F22" s="160"/>
      <c r="G22" s="160"/>
      <c r="H22" s="160"/>
      <c r="I22" s="160"/>
      <c r="J22" s="160"/>
      <c r="K22" s="160"/>
      <c r="L22" s="160"/>
      <c r="M22" s="160"/>
      <c r="N22" s="160"/>
      <c r="O22" s="160"/>
      <c r="P22" s="160"/>
      <c r="Q22" s="160"/>
      <c r="R22" s="160"/>
      <c r="S22" s="160"/>
      <c r="T22" s="160"/>
      <c r="U22" s="160"/>
      <c r="V22" s="160"/>
      <c r="W22" s="160"/>
      <c r="X22" s="180"/>
      <c r="Y22" s="149"/>
    </row>
    <row r="23" spans="1:25" x14ac:dyDescent="0.3">
      <c r="A23" s="179"/>
      <c r="B23" s="160"/>
      <c r="C23" s="160"/>
      <c r="D23" s="160"/>
      <c r="E23" s="160"/>
      <c r="F23" s="160"/>
      <c r="G23" s="160"/>
      <c r="H23" s="160"/>
      <c r="I23" s="160"/>
      <c r="J23" s="160"/>
      <c r="K23" s="160"/>
      <c r="L23" s="160"/>
      <c r="M23" s="160"/>
      <c r="N23" s="160"/>
      <c r="O23" s="160"/>
      <c r="P23" s="160"/>
      <c r="Q23" s="160"/>
      <c r="R23" s="160"/>
      <c r="S23" s="160"/>
      <c r="T23" s="160"/>
      <c r="U23" s="160"/>
      <c r="V23" s="160"/>
      <c r="W23" s="160"/>
      <c r="X23" s="180"/>
      <c r="Y23" s="149"/>
    </row>
    <row r="24" spans="1:25" x14ac:dyDescent="0.3">
      <c r="A24" s="179"/>
      <c r="B24" s="160"/>
      <c r="C24" s="160"/>
      <c r="D24" s="160"/>
      <c r="E24" s="160"/>
      <c r="F24" s="160"/>
      <c r="G24" s="160"/>
      <c r="H24" s="160"/>
      <c r="I24" s="160"/>
      <c r="J24" s="160"/>
      <c r="K24" s="160"/>
      <c r="L24" s="160"/>
      <c r="M24" s="160"/>
      <c r="N24" s="160"/>
      <c r="O24" s="160"/>
      <c r="P24" s="160"/>
      <c r="Q24" s="160"/>
      <c r="R24" s="160"/>
      <c r="S24" s="160"/>
      <c r="T24" s="160"/>
      <c r="U24" s="160"/>
      <c r="V24" s="160"/>
      <c r="W24" s="160"/>
      <c r="X24" s="180"/>
      <c r="Y24" s="149"/>
    </row>
    <row r="25" spans="1:25" x14ac:dyDescent="0.3">
      <c r="A25" s="179"/>
      <c r="B25" s="160"/>
      <c r="C25" s="160"/>
      <c r="D25" s="160"/>
      <c r="E25" s="160"/>
      <c r="F25" s="160"/>
      <c r="G25" s="160"/>
      <c r="H25" s="160"/>
      <c r="I25" s="160"/>
      <c r="J25" s="160"/>
      <c r="K25" s="160"/>
      <c r="L25" s="160"/>
      <c r="M25" s="160"/>
      <c r="N25" s="160"/>
      <c r="O25" s="160"/>
      <c r="P25" s="160"/>
      <c r="Q25" s="160"/>
      <c r="R25" s="160"/>
      <c r="S25" s="160"/>
      <c r="T25" s="160"/>
      <c r="U25" s="160"/>
      <c r="V25" s="160"/>
      <c r="W25" s="160"/>
      <c r="X25" s="180"/>
      <c r="Y25" s="149"/>
    </row>
    <row r="26" spans="1:25" x14ac:dyDescent="0.3">
      <c r="A26" s="179"/>
      <c r="B26" s="160"/>
      <c r="C26" s="160"/>
      <c r="D26" s="160"/>
      <c r="E26" s="160"/>
      <c r="F26" s="160"/>
      <c r="G26" s="160"/>
      <c r="H26" s="160"/>
      <c r="I26" s="160"/>
      <c r="J26" s="160"/>
      <c r="K26" s="160"/>
      <c r="L26" s="160"/>
      <c r="M26" s="160"/>
      <c r="N26" s="160"/>
      <c r="O26" s="160"/>
      <c r="P26" s="160"/>
      <c r="Q26" s="160"/>
      <c r="R26" s="160"/>
      <c r="S26" s="160"/>
      <c r="T26" s="160"/>
      <c r="U26" s="160"/>
      <c r="V26" s="160"/>
      <c r="W26" s="160"/>
      <c r="X26" s="180"/>
      <c r="Y26" s="149"/>
    </row>
    <row r="27" spans="1:25" x14ac:dyDescent="0.3">
      <c r="A27" s="179"/>
      <c r="B27" s="160"/>
      <c r="C27" s="160"/>
      <c r="D27" s="160"/>
      <c r="E27" s="160"/>
      <c r="F27" s="160"/>
      <c r="G27" s="160"/>
      <c r="H27" s="160"/>
      <c r="I27" s="160"/>
      <c r="J27" s="160"/>
      <c r="K27" s="160"/>
      <c r="L27" s="160"/>
      <c r="M27" s="160"/>
      <c r="N27" s="160"/>
      <c r="O27" s="160"/>
      <c r="P27" s="160"/>
      <c r="Q27" s="160"/>
      <c r="R27" s="160"/>
      <c r="S27" s="160"/>
      <c r="T27" s="160"/>
      <c r="U27" s="160"/>
      <c r="V27" s="160"/>
      <c r="W27" s="160"/>
      <c r="X27" s="180"/>
      <c r="Y27" s="149"/>
    </row>
    <row r="28" spans="1:25" x14ac:dyDescent="0.3">
      <c r="A28" s="179"/>
      <c r="B28" s="160"/>
      <c r="C28" s="160"/>
      <c r="D28" s="160"/>
      <c r="E28" s="160"/>
      <c r="F28" s="160"/>
      <c r="G28" s="160"/>
      <c r="H28" s="160"/>
      <c r="I28" s="160"/>
      <c r="J28" s="160"/>
      <c r="K28" s="160"/>
      <c r="L28" s="160"/>
      <c r="M28" s="160"/>
      <c r="N28" s="160"/>
      <c r="O28" s="160"/>
      <c r="P28" s="160"/>
      <c r="Q28" s="160"/>
      <c r="R28" s="160"/>
      <c r="S28" s="160"/>
      <c r="T28" s="160"/>
      <c r="U28" s="160"/>
      <c r="V28" s="160"/>
      <c r="W28" s="160"/>
      <c r="X28" s="180"/>
      <c r="Y28" s="149"/>
    </row>
    <row r="29" spans="1:25" x14ac:dyDescent="0.3">
      <c r="A29" s="179"/>
      <c r="B29" s="160"/>
      <c r="C29" s="160"/>
      <c r="D29" s="160"/>
      <c r="E29" s="160"/>
      <c r="F29" s="160"/>
      <c r="G29" s="160"/>
      <c r="H29" s="160"/>
      <c r="I29" s="160"/>
      <c r="J29" s="160"/>
      <c r="K29" s="160"/>
      <c r="L29" s="160"/>
      <c r="M29" s="160"/>
      <c r="N29" s="160"/>
      <c r="O29" s="160"/>
      <c r="P29" s="160"/>
      <c r="Q29" s="160"/>
      <c r="R29" s="160"/>
      <c r="S29" s="160"/>
      <c r="T29" s="160"/>
      <c r="U29" s="160"/>
      <c r="V29" s="160"/>
      <c r="W29" s="160"/>
      <c r="X29" s="180"/>
      <c r="Y29" s="149"/>
    </row>
    <row r="30" spans="1:25" x14ac:dyDescent="0.3">
      <c r="A30" s="179"/>
      <c r="B30" s="160"/>
      <c r="C30" s="160"/>
      <c r="D30" s="160"/>
      <c r="E30" s="160"/>
      <c r="F30" s="160"/>
      <c r="G30" s="160"/>
      <c r="H30" s="160"/>
      <c r="I30" s="160"/>
      <c r="J30" s="160"/>
      <c r="K30" s="160"/>
      <c r="L30" s="160"/>
      <c r="M30" s="160"/>
      <c r="N30" s="160"/>
      <c r="O30" s="160"/>
      <c r="P30" s="160"/>
      <c r="Q30" s="160"/>
      <c r="R30" s="160"/>
      <c r="S30" s="160"/>
      <c r="T30" s="160"/>
      <c r="U30" s="160"/>
      <c r="V30" s="160"/>
      <c r="W30" s="160"/>
      <c r="X30" s="180"/>
      <c r="Y30" s="149"/>
    </row>
    <row r="31" spans="1:25" x14ac:dyDescent="0.3">
      <c r="A31" s="179"/>
      <c r="B31" s="160"/>
      <c r="C31" s="160"/>
      <c r="D31" s="160"/>
      <c r="E31" s="160"/>
      <c r="F31" s="160"/>
      <c r="G31" s="160"/>
      <c r="H31" s="160"/>
      <c r="I31" s="160"/>
      <c r="J31" s="160"/>
      <c r="K31" s="160"/>
      <c r="L31" s="160"/>
      <c r="M31" s="160"/>
      <c r="N31" s="160"/>
      <c r="O31" s="160"/>
      <c r="P31" s="160"/>
      <c r="Q31" s="160"/>
      <c r="R31" s="160"/>
      <c r="S31" s="160"/>
      <c r="T31" s="160"/>
      <c r="U31" s="160"/>
      <c r="V31" s="160"/>
      <c r="W31" s="160"/>
      <c r="X31" s="180"/>
      <c r="Y31" s="149"/>
    </row>
    <row r="32" spans="1:25" x14ac:dyDescent="0.3">
      <c r="A32" s="179"/>
      <c r="B32" s="160"/>
      <c r="C32" s="160"/>
      <c r="D32" s="160"/>
      <c r="E32" s="160"/>
      <c r="F32" s="160"/>
      <c r="G32" s="160"/>
      <c r="H32" s="160"/>
      <c r="I32" s="160"/>
      <c r="J32" s="160"/>
      <c r="K32" s="160"/>
      <c r="L32" s="160"/>
      <c r="M32" s="160"/>
      <c r="N32" s="160"/>
      <c r="O32" s="160"/>
      <c r="P32" s="160"/>
      <c r="Q32" s="160"/>
      <c r="R32" s="160"/>
      <c r="S32" s="160"/>
      <c r="T32" s="160"/>
      <c r="U32" s="160"/>
      <c r="V32" s="160"/>
      <c r="W32" s="160"/>
      <c r="X32" s="180"/>
      <c r="Y32" s="149"/>
    </row>
    <row r="33" spans="1:25" x14ac:dyDescent="0.3">
      <c r="A33" s="179"/>
      <c r="B33" s="160"/>
      <c r="C33" s="160"/>
      <c r="D33" s="160"/>
      <c r="E33" s="160"/>
      <c r="F33" s="160"/>
      <c r="G33" s="160"/>
      <c r="H33" s="160"/>
      <c r="I33" s="160"/>
      <c r="J33" s="160"/>
      <c r="K33" s="160"/>
      <c r="L33" s="160"/>
      <c r="M33" s="160"/>
      <c r="N33" s="160"/>
      <c r="O33" s="160"/>
      <c r="P33" s="160"/>
      <c r="Q33" s="160"/>
      <c r="R33" s="160"/>
      <c r="S33" s="160"/>
      <c r="T33" s="160"/>
      <c r="U33" s="160"/>
      <c r="V33" s="160"/>
      <c r="W33" s="160"/>
      <c r="X33" s="180"/>
      <c r="Y33" s="149"/>
    </row>
    <row r="34" spans="1:25" x14ac:dyDescent="0.3">
      <c r="A34" s="179"/>
      <c r="B34" s="160"/>
      <c r="C34" s="160"/>
      <c r="D34" s="160"/>
      <c r="E34" s="160"/>
      <c r="F34" s="160"/>
      <c r="G34" s="160"/>
      <c r="H34" s="160"/>
      <c r="I34" s="160"/>
      <c r="J34" s="160"/>
      <c r="K34" s="160"/>
      <c r="L34" s="160"/>
      <c r="M34" s="160"/>
      <c r="N34" s="160"/>
      <c r="O34" s="160"/>
      <c r="P34" s="160"/>
      <c r="Q34" s="160"/>
      <c r="R34" s="160"/>
      <c r="S34" s="160"/>
      <c r="T34" s="160"/>
      <c r="U34" s="160"/>
      <c r="V34" s="160"/>
      <c r="W34" s="160"/>
      <c r="X34" s="180"/>
      <c r="Y34" s="149"/>
    </row>
    <row r="35" spans="1:25" x14ac:dyDescent="0.3">
      <c r="A35" s="179"/>
      <c r="B35" s="160"/>
      <c r="C35" s="160"/>
      <c r="D35" s="160"/>
      <c r="E35" s="160"/>
      <c r="F35" s="160"/>
      <c r="G35" s="160"/>
      <c r="H35" s="160"/>
      <c r="I35" s="160"/>
      <c r="J35" s="160"/>
      <c r="K35" s="160"/>
      <c r="L35" s="160"/>
      <c r="M35" s="160"/>
      <c r="N35" s="160"/>
      <c r="O35" s="160"/>
      <c r="P35" s="160"/>
      <c r="Q35" s="160"/>
      <c r="R35" s="160"/>
      <c r="S35" s="160"/>
      <c r="T35" s="160"/>
      <c r="U35" s="160"/>
      <c r="V35" s="160"/>
      <c r="W35" s="160"/>
      <c r="X35" s="180"/>
      <c r="Y35" s="149"/>
    </row>
    <row r="36" spans="1:25" x14ac:dyDescent="0.3">
      <c r="A36" s="179"/>
      <c r="B36" s="160"/>
      <c r="C36" s="160"/>
      <c r="D36" s="160"/>
      <c r="E36" s="160"/>
      <c r="F36" s="160"/>
      <c r="G36" s="160"/>
      <c r="H36" s="160"/>
      <c r="I36" s="160"/>
      <c r="J36" s="160"/>
      <c r="K36" s="160"/>
      <c r="L36" s="160"/>
      <c r="M36" s="160"/>
      <c r="N36" s="160"/>
      <c r="O36" s="160"/>
      <c r="P36" s="160"/>
      <c r="Q36" s="160"/>
      <c r="R36" s="160"/>
      <c r="S36" s="160"/>
      <c r="T36" s="160"/>
      <c r="U36" s="160"/>
      <c r="V36" s="160"/>
      <c r="W36" s="160"/>
      <c r="X36" s="180"/>
      <c r="Y36" s="149"/>
    </row>
    <row r="37" spans="1:25" x14ac:dyDescent="0.3">
      <c r="A37" s="179"/>
      <c r="B37" s="160"/>
      <c r="C37" s="160"/>
      <c r="D37" s="160"/>
      <c r="E37" s="160"/>
      <c r="F37" s="160"/>
      <c r="G37" s="160"/>
      <c r="H37" s="160"/>
      <c r="I37" s="160"/>
      <c r="J37" s="160"/>
      <c r="K37" s="160"/>
      <c r="L37" s="160"/>
      <c r="M37" s="160"/>
      <c r="N37" s="160"/>
      <c r="O37" s="160"/>
      <c r="P37" s="160"/>
      <c r="Q37" s="160"/>
      <c r="R37" s="160"/>
      <c r="S37" s="160"/>
      <c r="T37" s="160"/>
      <c r="U37" s="160"/>
      <c r="V37" s="160"/>
      <c r="W37" s="160"/>
      <c r="X37" s="180"/>
      <c r="Y37" s="149"/>
    </row>
    <row r="38" spans="1:25" x14ac:dyDescent="0.3">
      <c r="A38" s="179"/>
      <c r="B38" s="160"/>
      <c r="C38" s="160"/>
      <c r="D38" s="160"/>
      <c r="E38" s="160"/>
      <c r="F38" s="160"/>
      <c r="G38" s="160"/>
      <c r="H38" s="160"/>
      <c r="I38" s="160"/>
      <c r="J38" s="160"/>
      <c r="K38" s="160"/>
      <c r="L38" s="160"/>
      <c r="M38" s="160"/>
      <c r="N38" s="160"/>
      <c r="O38" s="160"/>
      <c r="P38" s="160"/>
      <c r="Q38" s="160"/>
      <c r="R38" s="160"/>
      <c r="S38" s="160"/>
      <c r="T38" s="160"/>
      <c r="U38" s="160"/>
      <c r="V38" s="160"/>
      <c r="W38" s="160"/>
      <c r="X38" s="180"/>
      <c r="Y38" s="149"/>
    </row>
    <row r="39" spans="1:25" x14ac:dyDescent="0.3">
      <c r="A39" s="179"/>
      <c r="B39" s="160"/>
      <c r="C39" s="160"/>
      <c r="D39" s="160"/>
      <c r="E39" s="160"/>
      <c r="F39" s="160"/>
      <c r="G39" s="160"/>
      <c r="H39" s="160"/>
      <c r="I39" s="160"/>
      <c r="J39" s="160"/>
      <c r="K39" s="160"/>
      <c r="L39" s="160"/>
      <c r="M39" s="160"/>
      <c r="N39" s="160"/>
      <c r="O39" s="160"/>
      <c r="P39" s="160"/>
      <c r="Q39" s="160"/>
      <c r="R39" s="160"/>
      <c r="S39" s="160"/>
      <c r="T39" s="160"/>
      <c r="U39" s="160"/>
      <c r="V39" s="160"/>
      <c r="W39" s="160"/>
      <c r="X39" s="180"/>
      <c r="Y39" s="149"/>
    </row>
    <row r="40" spans="1:25" ht="18" x14ac:dyDescent="0.3">
      <c r="A40" s="181"/>
      <c r="B40" s="161"/>
      <c r="C40" s="161"/>
      <c r="D40" s="161"/>
      <c r="E40" s="161"/>
      <c r="F40" s="162"/>
      <c r="G40" s="163"/>
      <c r="H40" s="162"/>
      <c r="I40" s="162"/>
      <c r="J40" s="162"/>
      <c r="K40" s="162"/>
      <c r="L40" s="162"/>
      <c r="M40" s="162"/>
      <c r="N40" s="162"/>
      <c r="O40" s="163"/>
      <c r="P40" s="162"/>
      <c r="Q40" s="162"/>
      <c r="R40" s="162"/>
      <c r="S40" s="162"/>
      <c r="T40" s="162"/>
      <c r="U40" s="162"/>
      <c r="V40" s="162"/>
      <c r="W40" s="160"/>
      <c r="X40" s="180"/>
      <c r="Y40" s="149"/>
    </row>
    <row r="41" spans="1:25" ht="18" x14ac:dyDescent="0.3">
      <c r="A41" s="181"/>
      <c r="B41" s="161"/>
      <c r="C41" s="161"/>
      <c r="D41" s="160"/>
      <c r="E41" s="160"/>
      <c r="F41" s="162"/>
      <c r="G41" s="163"/>
      <c r="H41" s="162"/>
      <c r="I41" s="162"/>
      <c r="J41" s="162"/>
      <c r="K41" s="162"/>
      <c r="L41" s="162"/>
      <c r="M41" s="162"/>
      <c r="N41" s="162"/>
      <c r="O41" s="163"/>
      <c r="P41" s="162"/>
      <c r="Q41" s="162"/>
      <c r="R41" s="162"/>
      <c r="S41" s="162"/>
      <c r="T41" s="162"/>
      <c r="U41" s="162"/>
      <c r="V41" s="162"/>
      <c r="W41" s="160"/>
      <c r="X41" s="180"/>
      <c r="Y41" s="149"/>
    </row>
    <row r="42" spans="1:25" ht="18" x14ac:dyDescent="0.3">
      <c r="A42" s="181"/>
      <c r="B42" s="161"/>
      <c r="C42" s="161"/>
      <c r="D42" s="160"/>
      <c r="E42" s="160"/>
      <c r="F42" s="162"/>
      <c r="G42" s="163"/>
      <c r="H42" s="162"/>
      <c r="I42" s="162"/>
      <c r="J42" s="162"/>
      <c r="K42" s="162"/>
      <c r="L42" s="162"/>
      <c r="M42" s="162"/>
      <c r="N42" s="162"/>
      <c r="O42" s="163"/>
      <c r="P42" s="162"/>
      <c r="Q42" s="162"/>
      <c r="R42" s="162"/>
      <c r="S42" s="162"/>
      <c r="T42" s="162"/>
      <c r="U42" s="162"/>
      <c r="V42" s="162"/>
      <c r="W42" s="160"/>
      <c r="X42" s="180"/>
      <c r="Y42" s="149"/>
    </row>
    <row r="43" spans="1:25" ht="18" x14ac:dyDescent="0.3">
      <c r="A43" s="181"/>
      <c r="B43" s="161"/>
      <c r="C43" s="161"/>
      <c r="D43" s="160"/>
      <c r="E43" s="160"/>
      <c r="F43" s="162"/>
      <c r="G43" s="163"/>
      <c r="H43" s="162"/>
      <c r="I43" s="162"/>
      <c r="J43" s="162"/>
      <c r="K43" s="162"/>
      <c r="L43" s="162"/>
      <c r="M43" s="162"/>
      <c r="N43" s="162"/>
      <c r="O43" s="163"/>
      <c r="P43" s="162"/>
      <c r="Q43" s="162"/>
      <c r="R43" s="162"/>
      <c r="S43" s="162"/>
      <c r="T43" s="162"/>
      <c r="U43" s="162"/>
      <c r="V43" s="162"/>
      <c r="W43" s="160"/>
      <c r="X43" s="180"/>
      <c r="Y43" s="149"/>
    </row>
    <row r="44" spans="1:25" ht="18" x14ac:dyDescent="0.3">
      <c r="A44" s="181"/>
      <c r="B44" s="161"/>
      <c r="C44" s="161"/>
      <c r="D44" s="160"/>
      <c r="E44" s="160"/>
      <c r="F44" s="162"/>
      <c r="G44" s="163"/>
      <c r="H44" s="162"/>
      <c r="I44" s="162"/>
      <c r="J44" s="162"/>
      <c r="K44" s="162"/>
      <c r="L44" s="162"/>
      <c r="M44" s="162"/>
      <c r="N44" s="162"/>
      <c r="O44" s="163"/>
      <c r="P44" s="162"/>
      <c r="Q44" s="162"/>
      <c r="R44" s="162"/>
      <c r="S44" s="162"/>
      <c r="T44" s="162"/>
      <c r="U44" s="162"/>
      <c r="V44" s="162"/>
      <c r="W44" s="160"/>
      <c r="X44" s="180"/>
      <c r="Y44" s="149"/>
    </row>
    <row r="45" spans="1:25" ht="18" x14ac:dyDescent="0.3">
      <c r="A45" s="181"/>
      <c r="B45" s="161"/>
      <c r="C45" s="161"/>
      <c r="D45" s="160"/>
      <c r="E45" s="160"/>
      <c r="F45" s="162"/>
      <c r="G45" s="163"/>
      <c r="H45" s="162"/>
      <c r="I45" s="162"/>
      <c r="J45" s="162"/>
      <c r="K45" s="162"/>
      <c r="L45" s="162"/>
      <c r="M45" s="162"/>
      <c r="N45" s="162"/>
      <c r="O45" s="163"/>
      <c r="P45" s="162"/>
      <c r="Q45" s="162"/>
      <c r="R45" s="162"/>
      <c r="S45" s="162"/>
      <c r="T45" s="162"/>
      <c r="U45" s="162"/>
      <c r="V45" s="162"/>
      <c r="W45" s="160"/>
      <c r="X45" s="180"/>
      <c r="Y45" s="149"/>
    </row>
    <row r="46" spans="1:25" ht="18" x14ac:dyDescent="0.3">
      <c r="A46" s="181"/>
      <c r="B46" s="161"/>
      <c r="C46" s="161"/>
      <c r="D46" s="160"/>
      <c r="E46" s="160"/>
      <c r="F46" s="162"/>
      <c r="G46" s="163"/>
      <c r="H46" s="162"/>
      <c r="I46" s="162"/>
      <c r="J46" s="162"/>
      <c r="K46" s="162"/>
      <c r="L46" s="162"/>
      <c r="M46" s="162"/>
      <c r="N46" s="162"/>
      <c r="O46" s="163"/>
      <c r="P46" s="162"/>
      <c r="Q46" s="162"/>
      <c r="R46" s="162"/>
      <c r="S46" s="162"/>
      <c r="T46" s="162"/>
      <c r="U46" s="162"/>
      <c r="V46" s="162"/>
      <c r="W46" s="160"/>
      <c r="X46" s="180"/>
      <c r="Y46" s="149"/>
    </row>
    <row r="47" spans="1:25" ht="18" x14ac:dyDescent="0.3">
      <c r="A47" s="181"/>
      <c r="B47" s="161"/>
      <c r="C47" s="161"/>
      <c r="D47" s="160"/>
      <c r="E47" s="160"/>
      <c r="F47" s="162"/>
      <c r="G47" s="163"/>
      <c r="H47" s="162"/>
      <c r="I47" s="162"/>
      <c r="J47" s="162"/>
      <c r="K47" s="162"/>
      <c r="L47" s="162"/>
      <c r="M47" s="162"/>
      <c r="N47" s="162"/>
      <c r="O47" s="163"/>
      <c r="P47" s="162"/>
      <c r="Q47" s="162"/>
      <c r="R47" s="162"/>
      <c r="S47" s="162"/>
      <c r="T47" s="162"/>
      <c r="U47" s="162"/>
      <c r="V47" s="162"/>
      <c r="W47" s="160"/>
      <c r="X47" s="180"/>
      <c r="Y47" s="149"/>
    </row>
    <row r="48" spans="1:25" ht="18" x14ac:dyDescent="0.3">
      <c r="A48" s="182"/>
      <c r="B48" s="183"/>
      <c r="C48" s="183"/>
      <c r="D48" s="184"/>
      <c r="E48" s="184"/>
      <c r="F48" s="185"/>
      <c r="G48" s="186"/>
      <c r="H48" s="185"/>
      <c r="I48" s="185"/>
      <c r="J48" s="185"/>
      <c r="K48" s="185"/>
      <c r="L48" s="185"/>
      <c r="M48" s="185"/>
      <c r="N48" s="185"/>
      <c r="O48" s="186"/>
      <c r="P48" s="185"/>
      <c r="Q48" s="185"/>
      <c r="R48" s="185"/>
      <c r="S48" s="185"/>
      <c r="T48" s="185"/>
      <c r="U48" s="185"/>
      <c r="V48" s="185"/>
      <c r="W48" s="184"/>
      <c r="X48" s="187"/>
      <c r="Y48" s="149"/>
    </row>
    <row r="49" spans="1:24" ht="18" x14ac:dyDescent="0.3">
      <c r="A49" s="172"/>
      <c r="B49" s="172"/>
      <c r="C49" s="172"/>
      <c r="D49" s="173"/>
      <c r="E49" s="173"/>
      <c r="F49" s="174"/>
      <c r="G49" s="175"/>
      <c r="H49" s="173"/>
      <c r="I49" s="172"/>
      <c r="J49" s="172"/>
      <c r="K49" s="172"/>
      <c r="L49" s="173"/>
      <c r="M49" s="173"/>
      <c r="N49" s="174"/>
      <c r="O49" s="175"/>
      <c r="P49" s="174"/>
      <c r="Q49" s="172"/>
      <c r="R49" s="172"/>
      <c r="S49" s="172"/>
      <c r="T49" s="173"/>
      <c r="U49" s="173"/>
      <c r="V49" s="173"/>
      <c r="W49" s="173"/>
      <c r="X49" s="173"/>
    </row>
    <row r="50" spans="1:24" ht="18" x14ac:dyDescent="0.3">
      <c r="A50" s="156"/>
      <c r="B50" s="156"/>
      <c r="C50" s="156"/>
      <c r="F50" s="157"/>
      <c r="G50" s="158"/>
      <c r="I50" s="156"/>
      <c r="J50" s="156"/>
      <c r="K50" s="156"/>
      <c r="N50" s="159"/>
      <c r="O50" s="158"/>
      <c r="P50" s="159"/>
      <c r="Q50" s="156"/>
      <c r="R50" s="156"/>
      <c r="S50" s="156"/>
    </row>
    <row r="51" spans="1:24" ht="18" x14ac:dyDescent="0.3">
      <c r="A51" s="156"/>
      <c r="B51" s="156"/>
      <c r="C51" s="156"/>
      <c r="F51" s="157"/>
      <c r="G51" s="158"/>
      <c r="I51" s="156"/>
      <c r="J51" s="156"/>
      <c r="K51" s="156"/>
      <c r="N51" s="159"/>
      <c r="O51" s="158"/>
      <c r="Q51" s="156"/>
      <c r="R51" s="156"/>
      <c r="S51" s="156"/>
    </row>
    <row r="52" spans="1:24" ht="18" x14ac:dyDescent="0.3">
      <c r="A52" s="156"/>
      <c r="B52" s="156"/>
      <c r="C52" s="156"/>
      <c r="F52" s="157"/>
      <c r="G52" s="158"/>
      <c r="I52" s="156"/>
      <c r="J52" s="156"/>
      <c r="K52" s="156"/>
      <c r="O52" s="158"/>
      <c r="Q52" s="156"/>
      <c r="R52" s="156"/>
      <c r="S52" s="156"/>
    </row>
    <row r="53" spans="1:24" ht="18" x14ac:dyDescent="0.3">
      <c r="A53" s="156"/>
      <c r="B53" s="156"/>
      <c r="C53" s="156"/>
      <c r="F53" s="157"/>
      <c r="G53" s="158"/>
      <c r="I53" s="156"/>
      <c r="J53" s="156"/>
      <c r="K53" s="156"/>
      <c r="O53" s="158"/>
      <c r="Q53" s="156"/>
      <c r="R53" s="156"/>
      <c r="S53" s="156"/>
    </row>
    <row r="54" spans="1:24" ht="18" x14ac:dyDescent="0.3">
      <c r="A54" s="156"/>
      <c r="B54" s="156"/>
      <c r="C54" s="156"/>
      <c r="G54" s="158"/>
      <c r="I54" s="156"/>
      <c r="J54" s="156"/>
      <c r="K54" s="156"/>
      <c r="O54" s="158"/>
      <c r="Q54" s="156"/>
      <c r="R54" s="156"/>
      <c r="S54" s="156"/>
    </row>
  </sheetData>
  <pageMargins left="0.7" right="0.7" top="0.75" bottom="0.75" header="0.3" footer="0.3"/>
  <pageSetup scale="55" fitToWidth="0" fitToHeight="0"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8895-17FA-4469-BF56-1690D4C35048}">
  <dimension ref="A1:V27"/>
  <sheetViews>
    <sheetView workbookViewId="0"/>
  </sheetViews>
  <sheetFormatPr defaultRowHeight="14.4" x14ac:dyDescent="0.3"/>
  <cols>
    <col min="1" max="5" width="8.88671875" style="150"/>
    <col min="6" max="6" width="11.88671875" style="150" customWidth="1"/>
    <col min="7" max="8" width="8.88671875" style="150"/>
    <col min="9" max="9" width="14.6640625" style="150" bestFit="1" customWidth="1"/>
    <col min="10" max="16384" width="8.88671875" style="150"/>
  </cols>
  <sheetData>
    <row r="1" spans="1:22" x14ac:dyDescent="0.3">
      <c r="A1" s="150" t="s">
        <v>63</v>
      </c>
      <c r="I1" s="208" t="s">
        <v>58</v>
      </c>
      <c r="J1" s="160">
        <f>'ID+C credit category view'!M2</f>
        <v>0</v>
      </c>
    </row>
    <row r="2" spans="1:22" x14ac:dyDescent="0.3">
      <c r="A2" s="150" t="s">
        <v>58</v>
      </c>
      <c r="I2" s="208" t="s">
        <v>59</v>
      </c>
      <c r="J2" s="160">
        <f>'ID+C credit category view'!M3</f>
        <v>0</v>
      </c>
    </row>
    <row r="3" spans="1:22" x14ac:dyDescent="0.3">
      <c r="A3" s="150" t="s">
        <v>59</v>
      </c>
      <c r="I3" s="208" t="s">
        <v>60</v>
      </c>
      <c r="J3" s="160">
        <f>'ID+C credit category view'!M4</f>
        <v>0</v>
      </c>
    </row>
    <row r="4" spans="1:22" ht="17.399999999999999" x14ac:dyDescent="0.3">
      <c r="A4" s="150" t="s">
        <v>60</v>
      </c>
      <c r="I4" s="208" t="s">
        <v>73</v>
      </c>
      <c r="J4" s="160">
        <f>J12-J3-J2-J1</f>
        <v>110</v>
      </c>
      <c r="Q4" s="371" t="s">
        <v>7</v>
      </c>
      <c r="R4" s="372"/>
      <c r="S4" s="372"/>
      <c r="T4" s="372"/>
      <c r="U4" s="372"/>
      <c r="V4" s="373"/>
    </row>
    <row r="5" spans="1:22" x14ac:dyDescent="0.3">
      <c r="I5" s="247" t="s">
        <v>125</v>
      </c>
      <c r="Q5" s="207" t="s">
        <v>58</v>
      </c>
      <c r="R5" s="207" t="s">
        <v>59</v>
      </c>
      <c r="S5" s="207" t="s">
        <v>60</v>
      </c>
      <c r="T5" s="209" t="s">
        <v>73</v>
      </c>
    </row>
    <row r="6" spans="1:22" x14ac:dyDescent="0.3">
      <c r="I6" s="246" t="s">
        <v>135</v>
      </c>
      <c r="Q6" s="209">
        <f>COUNTIF('ID+C impact area view '!A6:A30, "TRUE")</f>
        <v>0</v>
      </c>
      <c r="R6" s="209">
        <f>COUNTIF('ID+C impact area view '!B6:B30, "TRUE")</f>
        <v>0</v>
      </c>
      <c r="S6" s="209">
        <f>COUNTIF('ID+C impact area view '!C6:C30, "TRUE")</f>
        <v>0</v>
      </c>
      <c r="T6" s="242">
        <f>COUNTA('ID+C impact area view '!E6:E30)-S6-R6-Q6</f>
        <v>25</v>
      </c>
    </row>
    <row r="7" spans="1:22" ht="17.399999999999999" x14ac:dyDescent="0.3">
      <c r="I7" s="246" t="s">
        <v>135</v>
      </c>
      <c r="Q7" s="368" t="s">
        <v>2</v>
      </c>
      <c r="R7" s="369"/>
      <c r="S7" s="369"/>
      <c r="T7" s="369"/>
      <c r="U7" s="369"/>
      <c r="V7" s="370"/>
    </row>
    <row r="8" spans="1:22" x14ac:dyDescent="0.3">
      <c r="E8" s="161"/>
      <c r="H8" s="161"/>
      <c r="I8" s="243"/>
      <c r="J8" s="243"/>
      <c r="K8" s="243"/>
      <c r="Q8" s="207" t="s">
        <v>58</v>
      </c>
      <c r="R8" s="207" t="s">
        <v>59</v>
      </c>
      <c r="S8" s="207" t="s">
        <v>60</v>
      </c>
      <c r="T8" s="209" t="s">
        <v>73</v>
      </c>
    </row>
    <row r="9" spans="1:22" x14ac:dyDescent="0.3">
      <c r="E9" s="160"/>
      <c r="H9" s="248"/>
      <c r="I9" s="284" t="s">
        <v>127</v>
      </c>
      <c r="J9" s="251">
        <f>'ID+C credit category view'!M6</f>
        <v>0</v>
      </c>
      <c r="K9" s="250" t="s">
        <v>65</v>
      </c>
      <c r="L9" s="149"/>
      <c r="Q9" s="209">
        <f>COUNTIF('ID+C impact area view '!I6:I21, "TRUE")</f>
        <v>0</v>
      </c>
      <c r="R9" s="209">
        <f>COUNTIF('ID+C impact area view '!J6:J21, "TRUE")</f>
        <v>0</v>
      </c>
      <c r="S9" s="209">
        <f>COUNTIF('ID+C impact area view '!K6:K21, "TRUE")</f>
        <v>0</v>
      </c>
      <c r="T9" s="242">
        <f>COUNTA('ID+C impact area view '!M3:M21)-S9-R9-Q9</f>
        <v>16</v>
      </c>
    </row>
    <row r="10" spans="1:22" ht="17.399999999999999" x14ac:dyDescent="0.3">
      <c r="E10" s="160"/>
      <c r="H10" s="249"/>
      <c r="I10" s="252" t="s">
        <v>72</v>
      </c>
      <c r="J10" s="253">
        <v>40</v>
      </c>
      <c r="K10" s="250" t="s">
        <v>65</v>
      </c>
      <c r="L10" s="149"/>
      <c r="Q10" s="368" t="s">
        <v>66</v>
      </c>
      <c r="R10" s="369"/>
      <c r="S10" s="369"/>
      <c r="T10" s="369"/>
      <c r="U10" s="369"/>
      <c r="V10" s="370"/>
    </row>
    <row r="11" spans="1:22" x14ac:dyDescent="0.3">
      <c r="E11" s="160"/>
      <c r="H11" s="249"/>
      <c r="I11" s="252" t="s">
        <v>75</v>
      </c>
      <c r="J11" s="253">
        <v>80</v>
      </c>
      <c r="K11" s="250" t="s">
        <v>65</v>
      </c>
      <c r="L11" s="149"/>
      <c r="Q11" s="207" t="s">
        <v>58</v>
      </c>
      <c r="R11" s="207" t="s">
        <v>59</v>
      </c>
      <c r="S11" s="207" t="s">
        <v>60</v>
      </c>
      <c r="T11" s="209" t="s">
        <v>73</v>
      </c>
    </row>
    <row r="12" spans="1:22" x14ac:dyDescent="0.3">
      <c r="E12" s="160"/>
      <c r="F12" s="160"/>
      <c r="G12" s="160"/>
      <c r="H12" s="249"/>
      <c r="I12" s="250" t="s">
        <v>62</v>
      </c>
      <c r="J12" s="251">
        <f>'ID+C credit category view'!M7</f>
        <v>110</v>
      </c>
      <c r="K12" s="250" t="s">
        <v>65</v>
      </c>
      <c r="L12" s="149"/>
      <c r="Q12" s="242">
        <f>COUNTIF('ID+C impact area view '!Q6:Q21, "TRUE")</f>
        <v>0</v>
      </c>
      <c r="R12" s="242">
        <f>COUNTIF('ID+C impact area view '!R6:R21, "TRUE")</f>
        <v>0</v>
      </c>
      <c r="S12" s="242">
        <f>COUNTIF('ID+C impact area view '!S6:S21, "TRUE")</f>
        <v>0</v>
      </c>
      <c r="T12" s="242">
        <f>COUNTA('ID+C impact area view '!M6:M21)-S12-R12-Q12</f>
        <v>16</v>
      </c>
    </row>
    <row r="13" spans="1:22" x14ac:dyDescent="0.3">
      <c r="E13" s="160"/>
      <c r="F13" s="160"/>
      <c r="G13" s="160"/>
      <c r="H13" s="160"/>
      <c r="I13" s="247" t="s">
        <v>125</v>
      </c>
      <c r="J13" s="173"/>
      <c r="K13" s="173"/>
    </row>
    <row r="14" spans="1:22" x14ac:dyDescent="0.3">
      <c r="E14" s="243"/>
      <c r="F14" s="243"/>
      <c r="G14" s="160"/>
      <c r="H14" s="160"/>
      <c r="I14" s="246" t="s">
        <v>134</v>
      </c>
      <c r="J14" s="160"/>
      <c r="K14" s="160"/>
      <c r="P14" s="246" t="s">
        <v>136</v>
      </c>
    </row>
    <row r="15" spans="1:22" x14ac:dyDescent="0.3">
      <c r="A15" s="160"/>
      <c r="B15" s="160"/>
      <c r="C15" s="160"/>
      <c r="D15" s="160"/>
      <c r="E15" s="374" t="s">
        <v>62</v>
      </c>
      <c r="F15" s="374" t="s">
        <v>127</v>
      </c>
      <c r="G15" s="241"/>
      <c r="H15" s="160"/>
      <c r="I15" s="160"/>
      <c r="J15" s="160"/>
      <c r="K15" s="160"/>
      <c r="P15" s="246" t="s">
        <v>137</v>
      </c>
    </row>
    <row r="16" spans="1:22" x14ac:dyDescent="0.3">
      <c r="A16" s="160"/>
      <c r="B16" s="160"/>
      <c r="C16" s="160"/>
      <c r="D16" s="160"/>
      <c r="E16" s="374"/>
      <c r="F16" s="374"/>
      <c r="G16" s="241"/>
      <c r="H16" s="160"/>
      <c r="I16" s="160"/>
      <c r="J16" s="160"/>
      <c r="K16" s="160"/>
      <c r="P16" s="246" t="s">
        <v>138</v>
      </c>
    </row>
    <row r="17" spans="1:11" x14ac:dyDescent="0.3">
      <c r="A17" s="160"/>
      <c r="B17" s="160"/>
      <c r="C17" s="160"/>
      <c r="D17" s="160"/>
      <c r="E17" s="374"/>
      <c r="F17" s="374"/>
      <c r="G17" s="241"/>
      <c r="H17" s="160"/>
      <c r="I17" s="160"/>
      <c r="J17" s="160"/>
      <c r="K17" s="160"/>
    </row>
    <row r="18" spans="1:11" x14ac:dyDescent="0.3">
      <c r="A18" s="375" t="str">
        <f>'ID+C credit category view'!E9</f>
        <v>Integrative Process, Planning and Assessments (IP)</v>
      </c>
      <c r="B18" s="375"/>
      <c r="C18" s="375"/>
      <c r="D18" s="375"/>
      <c r="E18" s="244">
        <f>'ID+C credit category view'!I9</f>
        <v>1</v>
      </c>
      <c r="F18" s="244">
        <f>'ID+C credit category view'!J9</f>
        <v>0</v>
      </c>
      <c r="G18" s="241"/>
      <c r="H18" s="160"/>
      <c r="I18" s="160"/>
      <c r="J18" s="160"/>
      <c r="K18" s="160"/>
    </row>
    <row r="19" spans="1:11" x14ac:dyDescent="0.3">
      <c r="A19" s="375" t="str">
        <f>'ID+C credit category view'!E15</f>
        <v>Location and Transportation (LT)</v>
      </c>
      <c r="B19" s="375"/>
      <c r="C19" s="375"/>
      <c r="D19" s="375"/>
      <c r="E19" s="244">
        <f>'ID+C credit category view'!I15</f>
        <v>14</v>
      </c>
      <c r="F19" s="244">
        <f>'ID+C credit category view'!J15</f>
        <v>0</v>
      </c>
      <c r="G19" s="241"/>
      <c r="H19" s="160"/>
      <c r="I19" s="160"/>
      <c r="J19" s="160"/>
      <c r="K19" s="160"/>
    </row>
    <row r="20" spans="1:11" x14ac:dyDescent="0.3">
      <c r="A20" s="245" t="str">
        <f>'ID+C credit category view'!E20</f>
        <v>Water Efficiency (WE)</v>
      </c>
      <c r="B20" s="245"/>
      <c r="C20" s="245"/>
      <c r="D20" s="245"/>
      <c r="E20" s="244">
        <f>'ID+C credit category view'!I20</f>
        <v>10</v>
      </c>
      <c r="F20" s="244">
        <f>'ID+C credit category view'!J20</f>
        <v>0</v>
      </c>
      <c r="G20" s="241"/>
      <c r="H20" s="160"/>
      <c r="I20" s="160"/>
      <c r="J20" s="160"/>
      <c r="K20" s="160"/>
    </row>
    <row r="21" spans="1:11" x14ac:dyDescent="0.3">
      <c r="A21" s="245" t="str">
        <f>'ID+C credit category view'!E25</f>
        <v>Energy and Atmosphere (EA)</v>
      </c>
      <c r="B21" s="245"/>
      <c r="C21" s="245"/>
      <c r="D21" s="245"/>
      <c r="E21" s="244">
        <f>'ID+C credit category view'!I25</f>
        <v>31</v>
      </c>
      <c r="F21" s="244">
        <f>'ID+C credit category view'!J25</f>
        <v>0</v>
      </c>
      <c r="G21" s="241"/>
      <c r="H21" s="160"/>
      <c r="I21" s="160"/>
      <c r="J21" s="160"/>
      <c r="K21" s="160"/>
    </row>
    <row r="22" spans="1:11" x14ac:dyDescent="0.3">
      <c r="A22" s="245" t="str">
        <f>'ID+C credit category view'!E38</f>
        <v>Materials and Resources (MR)</v>
      </c>
      <c r="B22" s="245"/>
      <c r="C22" s="245"/>
      <c r="D22" s="245"/>
      <c r="E22" s="244">
        <f>'ID+C credit category view'!I38</f>
        <v>26</v>
      </c>
      <c r="F22" s="244">
        <f>'ID+C credit category view'!J38</f>
        <v>0</v>
      </c>
      <c r="G22" s="241"/>
      <c r="H22" s="160"/>
      <c r="I22" s="160"/>
      <c r="J22" s="160"/>
      <c r="K22" s="160"/>
    </row>
    <row r="23" spans="1:11" x14ac:dyDescent="0.3">
      <c r="A23" s="245" t="str">
        <f>'ID+C credit category view'!E47</f>
        <v>Indoor Environmental Quality (EQ)</v>
      </c>
      <c r="B23" s="245"/>
      <c r="C23" s="245"/>
      <c r="D23" s="245"/>
      <c r="E23" s="244">
        <f>'ID+C credit category view'!I47</f>
        <v>18</v>
      </c>
      <c r="F23" s="244">
        <f>'ID+C credit category view'!J47</f>
        <v>0</v>
      </c>
      <c r="G23" s="241"/>
      <c r="H23" s="160"/>
      <c r="I23" s="160"/>
      <c r="J23" s="160"/>
      <c r="K23" s="160"/>
    </row>
    <row r="24" spans="1:11" x14ac:dyDescent="0.3">
      <c r="A24" s="245" t="str">
        <f>'ID+C credit category view'!E57</f>
        <v>Project Priorities (PR)</v>
      </c>
      <c r="B24" s="245"/>
      <c r="C24" s="245"/>
      <c r="D24" s="245"/>
      <c r="E24" s="244">
        <f>'ID+C credit category view'!I57</f>
        <v>10</v>
      </c>
      <c r="F24" s="244">
        <f>'ID+C credit category view'!J57</f>
        <v>0</v>
      </c>
      <c r="G24" s="241"/>
      <c r="H24" s="160"/>
      <c r="I24" s="160"/>
      <c r="J24" s="160"/>
      <c r="K24" s="160"/>
    </row>
    <row r="25" spans="1:11" x14ac:dyDescent="0.3">
      <c r="A25" s="247" t="s">
        <v>125</v>
      </c>
      <c r="B25" s="173"/>
      <c r="C25" s="173"/>
      <c r="D25" s="173"/>
      <c r="E25" s="173"/>
      <c r="F25" s="173"/>
      <c r="G25" s="160"/>
      <c r="H25" s="160"/>
      <c r="I25" s="160"/>
      <c r="J25" s="160"/>
      <c r="K25" s="160"/>
    </row>
    <row r="26" spans="1:11" x14ac:dyDescent="0.3">
      <c r="A26" s="246" t="s">
        <v>124</v>
      </c>
    </row>
    <row r="27" spans="1:11" x14ac:dyDescent="0.3">
      <c r="A27" s="246" t="s">
        <v>139</v>
      </c>
    </row>
  </sheetData>
  <sheetProtection algorithmName="SHA-512" hashValue="5oWmUdTKDB26z93glXJB7dHOy7hQmKvi/wYxLR+qvfB1K8SqwNT7bc8Ag/Q3eegZYAsULUrTtx0RsP9xhNfWhw==" saltValue="RpvNWHjAMvTCFdfiMdazqg==" spinCount="100000" sheet="1" objects="1" scenarios="1"/>
  <mergeCells count="7">
    <mergeCell ref="F15:F17"/>
    <mergeCell ref="E15:E17"/>
    <mergeCell ref="A18:D18"/>
    <mergeCell ref="A19:D19"/>
    <mergeCell ref="Q4:V4"/>
    <mergeCell ref="Q7:V7"/>
    <mergeCell ref="Q10:V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BFE0B532E11044AEF3AC62CA104DD5" ma:contentTypeVersion="16" ma:contentTypeDescription="Create a new document." ma:contentTypeScope="" ma:versionID="4b44586c7037f7d75b12ff2fe0b51f3a">
  <xsd:schema xmlns:xsd="http://www.w3.org/2001/XMLSchema" xmlns:xs="http://www.w3.org/2001/XMLSchema" xmlns:p="http://schemas.microsoft.com/office/2006/metadata/properties" xmlns:ns2="7f6fc0cd-3f1b-4e34-a182-84100c4914e4" xmlns:ns3="2c7a8f07-2686-4e4f-ae0a-afdb6b833810" targetNamespace="http://schemas.microsoft.com/office/2006/metadata/properties" ma:root="true" ma:fieldsID="5e63ac79f96868fea050ca5002f21d1f" ns2:_="" ns3:_="">
    <xsd:import namespace="7f6fc0cd-3f1b-4e34-a182-84100c4914e4"/>
    <xsd:import namespace="2c7a8f07-2686-4e4f-ae0a-afdb6b8338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6fc0cd-3f1b-4e34-a182-84100c491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7a8f07-2686-4e4f-ae0a-afdb6b8338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c1e3f64-84f5-4247-b2f0-ca28f4b54d8c}" ma:internalName="TaxCatchAll" ma:showField="CatchAllData" ma:web="2c7a8f07-2686-4e4f-ae0a-afdb6b83381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c7a8f07-2686-4e4f-ae0a-afdb6b833810" xsi:nil="true"/>
    <lcf76f155ced4ddcb4097134ff3c332f xmlns="7f6fc0cd-3f1b-4e34-a182-84100c4914e4">
      <Terms xmlns="http://schemas.microsoft.com/office/infopath/2007/PartnerControls"/>
    </lcf76f155ced4ddcb4097134ff3c332f>
    <SharedWithUsers xmlns="2c7a8f07-2686-4e4f-ae0a-afdb6b833810">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3C49BD-285E-4E5A-A98B-AD310FA3880A}"/>
</file>

<file path=customXml/itemProps2.xml><?xml version="1.0" encoding="utf-8"?>
<ds:datastoreItem xmlns:ds="http://schemas.openxmlformats.org/officeDocument/2006/customXml" ds:itemID="{3F170694-86A8-407E-8513-E6EFCE8C6EFA}">
  <ds:schemaRefs>
    <ds:schemaRef ds:uri="http://schemas.microsoft.com/office/2006/documentManagement/types"/>
    <ds:schemaRef ds:uri="5ff4af7e-cfd7-415a-baed-ead09a9487b3"/>
    <ds:schemaRef ds:uri="ff5b7889-32f6-4f7a-ad46-d91d7f417e7c"/>
    <ds:schemaRef ds:uri="http://www.w3.org/XML/1998/namespace"/>
    <ds:schemaRef ds:uri="http://purl.org/dc/term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3BD9EF5B-C834-4965-BA98-FF1968DEE991}">
  <ds:schemaRefs>
    <ds:schemaRef ds:uri="http://schemas.microsoft.com/sharepoint/v3/contenttype/forms"/>
  </ds:schemaRefs>
</ds:datastoreItem>
</file>

<file path=docMetadata/LabelInfo.xml><?xml version="1.0" encoding="utf-8"?>
<clbl:labelList xmlns:clbl="http://schemas.microsoft.com/office/2020/mipLabelMetadata">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Cover</vt:lpstr>
      <vt:lpstr>ID+C credit category view</vt:lpstr>
      <vt:lpstr>ID+C impact area view </vt:lpstr>
      <vt:lpstr>Analytics</vt:lpstr>
      <vt:lpstr>Background</vt:lpstr>
      <vt:lpstr>Analytics!Print_Area</vt:lpstr>
      <vt:lpstr>'ID+C credit category view'!Print_Area</vt:lpstr>
      <vt:lpstr>'ID+C impact area view '!Print_Area</vt:lpstr>
    </vt:vector>
  </TitlesOfParts>
  <Manager/>
  <Company>US Green Building Council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Chrissy Ungaro</dc:creator>
  <cp:keywords/>
  <dc:description/>
  <cp:lastModifiedBy>Jeanne Friedlander</cp:lastModifiedBy>
  <cp:revision/>
  <cp:lastPrinted>2025-10-29T20:16:40Z</cp:lastPrinted>
  <dcterms:created xsi:type="dcterms:W3CDTF">2010-11-08T04:39:43Z</dcterms:created>
  <dcterms:modified xsi:type="dcterms:W3CDTF">2025-10-29T20:17:55Z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0x0101002ABFE0B532E11044AEF3AC62CA104DD5</vt:lpwstr>
  </property>
  <property fmtid="{D5CDD505-2E9C-101B-9397-08002B2CF9AE}" pid="3" name="MediaServiceImageTags">
    <vt:lpwstr/>
  </property>
</Properties>
</file>